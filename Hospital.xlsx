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ITVedant\EXCEL FORMULA\PROJECTS\"/>
    </mc:Choice>
  </mc:AlternateContent>
  <xr:revisionPtr revIDLastSave="0" documentId="13_ncr:1_{CFE561DF-561C-47A8-963B-2C25A1D70835}" xr6:coauthVersionLast="47" xr6:coauthVersionMax="47" xr10:uidLastSave="{00000000-0000-0000-0000-000000000000}"/>
  <bookViews>
    <workbookView xWindow="-108" yWindow="-108" windowWidth="23256" windowHeight="12456" firstSheet="1" activeTab="1" xr2:uid="{2303EC06-27F2-4642-9C4C-18E96B9A70E1}"/>
  </bookViews>
  <sheets>
    <sheet name="Pivot Report" sheetId="1" r:id="rId1"/>
    <sheet name="Dashboard" sheetId="4" r:id="rId2"/>
    <sheet name="Daily ER No. of patient" sheetId="5" r:id="rId3"/>
    <sheet name="Average Wait Time Daily Trend" sheetId="7" r:id="rId4"/>
    <sheet name="Patient Satisfaction Score Dail" sheetId="8" r:id="rId5"/>
  </sheets>
  <definedNames>
    <definedName name="Slicer_Column1__Year">#N/A</definedName>
    <definedName name="Slicer_Month">#N/A</definedName>
  </definedNames>
  <calcPr calcId="191029"/>
  <pivotCaches>
    <pivotCache cacheId="0" r:id="rId6"/>
    <pivotCache cacheId="81" r:id="rId7"/>
    <pivotCache cacheId="84" r:id="rId8"/>
    <pivotCache cacheId="87" r:id="rId9"/>
    <pivotCache cacheId="90" r:id="rId10"/>
    <pivotCache cacheId="93" r:id="rId11"/>
    <pivotCache cacheId="96" r:id="rId12"/>
    <pivotCache cacheId="99" r:id="rId13"/>
    <pivotCache cacheId="102" r:id="rId14"/>
    <pivotCache cacheId="105" r:id="rId15"/>
    <pivotCache cacheId="108" r:id="rId16"/>
    <pivotCache cacheId="1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59d6a5e-b4d6-4ec6-ae76-83561c5c6689" name="Hospital Emergency Room Data" connection="Query - Hospital Emergency Room Data"/>
          <x15:modelTable id="Celender_Table_fa07f473-2491-4097-b44a-f4198619ba30" name="Celender_Table" connection="Query - Celender_Table"/>
        </x15:modelTables>
        <x15:modelRelationships>
          <x15:modelRelationship fromTable="Hospital Emergency Room Data" fromColumn="Patient Admission Date" toTable="Celender_Table" toColumn="Column1"/>
        </x15:modelRelationships>
        <x15:extLst>
          <ext xmlns:x16="http://schemas.microsoft.com/office/spreadsheetml/2014/11/main" uri="{9835A34E-60A6-4A7C-AAB8-D5F71C897F49}">
            <x16:modelTimeGroupings>
              <x16:modelTimeGrouping tableName="Ce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Month" columnId="Column1 (Month)" contentType="months" isSelected="1"/>
                <x16:calculatedTimeColumn columnName="Column1 (Day Index)" columnId="Column1 (Day Index)" contentType="daysindex" isSelected="0"/>
                <x16:calculatedTimeColumn columnName="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B26" i="1"/>
  <c r="B27" i="1"/>
  <c r="C27" i="1"/>
  <c r="A26" i="1"/>
  <c r="A2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0E2A4-7004-4056-84D7-D015631F63AB}" name="Query - Celender_Table" description="Connection to the 'Celender_Table' query in the workbook." type="100" refreshedVersion="8" minRefreshableVersion="5">
    <extLst>
      <ext xmlns:x15="http://schemas.microsoft.com/office/spreadsheetml/2010/11/main" uri="{DE250136-89BD-433C-8126-D09CA5730AF9}">
        <x15:connection id="5908ae77-94db-4606-83a2-8f3f8f077105"/>
      </ext>
    </extLst>
  </connection>
  <connection id="2" xr16:uid="{414407AE-26CE-472F-A117-191A75126C0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1522a9e-c403-4fd0-b992-3c533fab7d3a">
          <x15:oledbPr connection="Provider=Microsoft.Mashup.OleDb.1;Data Source=$Workbook$;Location=&quot;Hospital Emergency Room Data&quot;;Extended Properties=&quot;&quot;">
            <x15:dbTables>
              <x15:dbTable name="Hospital Emergency Room Data"/>
            </x15:dbTables>
          </x15:oledbPr>
        </x15:connection>
      </ext>
    </extLst>
  </connection>
  <connection id="3" xr16:uid="{B56E1B2A-663A-47AE-8E95-CBC06C298CD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<sst xmlns="http://schemas.openxmlformats.org/spreadsheetml/2006/main" count="151" uniqueCount="72">
  <si>
    <t>Distinct Count of Patient Id</t>
  </si>
  <si>
    <t>No. of Patient</t>
  </si>
  <si>
    <t>Average of Patient Waittime</t>
  </si>
  <si>
    <t>Average of Patient Satisfaction Score</t>
  </si>
  <si>
    <t>Row Labels</t>
  </si>
  <si>
    <t>Grand Total</t>
  </si>
  <si>
    <t>2023</t>
  </si>
  <si>
    <t>Count of Patient Id</t>
  </si>
  <si>
    <t>Daily Trend of No. of Patient</t>
  </si>
  <si>
    <t>Avrage Wait Time of Patient</t>
  </si>
  <si>
    <t>Male</t>
  </si>
  <si>
    <t>None</t>
  </si>
  <si>
    <t>Admitted</t>
  </si>
  <si>
    <t>20-29</t>
  </si>
  <si>
    <t>Delay</t>
  </si>
  <si>
    <t>70-79</t>
  </si>
  <si>
    <t>10-19</t>
  </si>
  <si>
    <t>OnTime</t>
  </si>
  <si>
    <t>60-69</t>
  </si>
  <si>
    <t>30-39</t>
  </si>
  <si>
    <t>0-09</t>
  </si>
  <si>
    <t>Female</t>
  </si>
  <si>
    <t>40-49</t>
  </si>
  <si>
    <t>Not Admitted</t>
  </si>
  <si>
    <t>General Practice</t>
  </si>
  <si>
    <t>Orthopedics</t>
  </si>
  <si>
    <t>Physiotherapy</t>
  </si>
  <si>
    <t>Cardiology</t>
  </si>
  <si>
    <t>Neurology</t>
  </si>
  <si>
    <t>Gastroenterology</t>
  </si>
  <si>
    <t>Renal</t>
  </si>
  <si>
    <t>Count of Patient Admission Flag</t>
  </si>
  <si>
    <t>Count of Patient Admission Flag2</t>
  </si>
  <si>
    <t xml:space="preserve">Addmision Status </t>
  </si>
  <si>
    <t>% Status</t>
  </si>
  <si>
    <t>No, of Patient</t>
  </si>
  <si>
    <t xml:space="preserve"> </t>
  </si>
  <si>
    <t>50-59</t>
  </si>
  <si>
    <t>Count of Age Group</t>
  </si>
  <si>
    <t>Count of Patient attend Status</t>
  </si>
  <si>
    <t>Count of Patient Gender</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</si>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</sst>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2"/>
      <color rgb="FF000000"/>
      <name val="Calibri Light"/>
      <family val="2"/>
    </font>
  </fonts>
  <fills count="7">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1" xfId="0" applyBorder="1" applyAlignment="1">
      <alignment horizontal="left"/>
    </xf>
    <xf numFmtId="0" fontId="0" fillId="0" borderId="2" xfId="0" pivotButton="1" applyBorder="1"/>
    <xf numFmtId="0" fontId="0" fillId="0" borderId="2" xfId="0" applyBorder="1"/>
    <xf numFmtId="2" fontId="0" fillId="0" borderId="1" xfId="0" applyNumberFormat="1" applyBorder="1"/>
    <xf numFmtId="0" fontId="0" fillId="4" borderId="0" xfId="0" applyFill="1"/>
    <xf numFmtId="1" fontId="0" fillId="0" borderId="0" xfId="0" applyNumberFormat="1"/>
    <xf numFmtId="10" fontId="0" fillId="0" borderId="0" xfId="0" applyNumberFormat="1"/>
    <xf numFmtId="0" fontId="0" fillId="5" borderId="0" xfId="0" applyFill="1"/>
    <xf numFmtId="0" fontId="0" fillId="6" borderId="0" xfId="0" applyFill="1"/>
    <xf numFmtId="0" fontId="0" fillId="5" borderId="0" xfId="0" applyFill="1" applyAlignment="1">
      <alignment horizontal="left" vertical="center"/>
    </xf>
    <xf numFmtId="0" fontId="0" fillId="5" borderId="0" xfId="0" applyFill="1" applyAlignment="1">
      <alignment vertical="center"/>
    </xf>
    <xf numFmtId="0" fontId="0" fillId="6" borderId="0" xfId="0" applyFill="1" applyAlignment="1">
      <alignment horizontal="center" vertical="center"/>
    </xf>
    <xf numFmtId="9" fontId="0" fillId="6" borderId="0" xfId="1" applyFont="1" applyFill="1" applyAlignment="1">
      <alignment horizontal="center" vertical="center"/>
    </xf>
    <xf numFmtId="0" fontId="2" fillId="0" borderId="0" xfId="0" applyFont="1" applyAlignment="1">
      <alignment horizontal="center" vertical="center"/>
    </xf>
    <xf numFmtId="0" fontId="0" fillId="4" borderId="1" xfId="0" applyFill="1" applyBorder="1" applyAlignment="1">
      <alignment horizontal="center"/>
    </xf>
    <xf numFmtId="0" fontId="0" fillId="0" borderId="0" xfId="0" applyNumberFormat="1"/>
    <xf numFmtId="0" fontId="0" fillId="0" borderId="1" xfId="0" applyNumberFormat="1" applyBorder="1"/>
  </cellXfs>
  <cellStyles count="2">
    <cellStyle name="Normal" xfId="0" builtinId="0"/>
    <cellStyle name="Percent" xfId="1" builtinId="5"/>
  </cellStyles>
  <dxfs count="94">
    <dxf>
      <numFmt numFmtId="1"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0.000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164" formatCode="0.000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numFmt numFmtId="1" formatCode="0"/>
    </dxf>
    <dxf>
      <numFmt numFmtId="2" formatCode="0.00"/>
    </dxf>
    <dxf>
      <numFmt numFmtId="2" formatCode="0.00"/>
    </dxf>
    <dxf>
      <numFmt numFmtId="164" formatCode="0.000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16BE8289-B7FC-4804-AC7B-C9CE1E4DB6A4}">
      <tableStyleElement type="wholeTable" dxfId="93"/>
      <tableStyleElement type="headerRow" dxfId="9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1B1BB2-989D-4951-B3CC-97DFE3AB74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t" anchorCtr="0">
                <a:spAutoFit/>
              </a:bodyPr>
              <a:lstStyle/>
              <a:p>
                <a:pPr algn="l">
                  <a:defRPr sz="700" b="0" i="0" u="none" strike="noStrike" kern="1200" baseline="0">
                    <a:solidFill>
                      <a:schemeClr val="tx1">
                        <a:lumMod val="75000"/>
                        <a:lumOff val="25000"/>
                      </a:schemeClr>
                    </a:solidFill>
                    <a:latin typeface="+mn-lt"/>
                    <a:ea typeface="+mn-ea"/>
                    <a:cs typeface="+mn-cs"/>
                  </a:defRPr>
                </a:pPr>
                <a:fld id="{A50B4E67-24C6-499F-887A-8A471D9394E9}" type="CELLRANGE">
                  <a:rPr lang="en-US"/>
                  <a:pPr algn="l">
                    <a:defRPr sz="7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48005399482549582"/>
          <c:y val="6.9444444444444448E-2"/>
          <c:w val="0.42793101375403902"/>
          <c:h val="0.8416746864975212"/>
        </c:manualLayout>
      </c:layout>
      <c:barChart>
        <c:barDir val="bar"/>
        <c:grouping val="clustered"/>
        <c:varyColors val="0"/>
        <c:ser>
          <c:idx val="0"/>
          <c:order val="0"/>
          <c:tx>
            <c:strRef>
              <c:f>'Pivot Report'!$C$19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C8D-4CFC-9893-72CEB677F86B}"/>
              </c:ext>
            </c:extLst>
          </c:dPt>
          <c:dPt>
            <c:idx val="1"/>
            <c:invertIfNegative val="0"/>
            <c:bubble3D val="0"/>
            <c:extLst>
              <c:ext xmlns:c16="http://schemas.microsoft.com/office/drawing/2014/chart" uri="{C3380CC4-5D6E-409C-BE32-E72D297353CC}">
                <c16:uniqueId val="{00000001-6C8D-4CFC-9893-72CEB677F86B}"/>
              </c:ext>
            </c:extLst>
          </c:dPt>
          <c:dLbls>
            <c:dLbl>
              <c:idx val="0"/>
              <c:tx>
                <c:rich>
                  <a:bodyPr rot="0" spcFirstLastPara="1" vertOverflow="ellipsis" vert="horz" wrap="none" lIns="38100" tIns="19050" rIns="38100" bIns="19050" anchor="t" anchorCtr="0">
                    <a:spAutoFit/>
                  </a:bodyPr>
                  <a:lstStyle/>
                  <a:p>
                    <a:pPr algn="l">
                      <a:defRPr sz="700" b="0" i="0" u="none" strike="noStrike" kern="1200" baseline="0">
                        <a:solidFill>
                          <a:schemeClr val="tx1">
                            <a:lumMod val="75000"/>
                            <a:lumOff val="25000"/>
                          </a:schemeClr>
                        </a:solidFill>
                        <a:latin typeface="+mn-lt"/>
                        <a:ea typeface="+mn-ea"/>
                        <a:cs typeface="+mn-cs"/>
                      </a:defRPr>
                    </a:pPr>
                    <a:fld id="{A50B4E67-24C6-499F-887A-8A471D9394E9}" type="CELLRANGE">
                      <a:rPr lang="en-US"/>
                      <a:pPr algn="l">
                        <a:defRPr sz="7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6C8D-4CFC-9893-72CEB677F86B}"/>
                </c:ext>
              </c:extLst>
            </c:dLbl>
            <c:dLbl>
              <c:idx val="1"/>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1B1BB2-989D-4951-B3CC-97DFE3AB74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1-6C8D-4CFC-9893-72CEB677F8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Report'!$B$20:$B$22</c:f>
              <c:strCache>
                <c:ptCount val="2"/>
                <c:pt idx="0">
                  <c:v>Admitted</c:v>
                </c:pt>
                <c:pt idx="1">
                  <c:v>Not Admitted</c:v>
                </c:pt>
              </c:strCache>
            </c:strRef>
          </c:cat>
          <c:val>
            <c:numRef>
              <c:f>'Pivot Report'!$C$20:$C$22</c:f>
              <c:numCache>
                <c:formatCode>0</c:formatCode>
                <c:ptCount val="2"/>
                <c:pt idx="0">
                  <c:v>252</c:v>
                </c:pt>
                <c:pt idx="1">
                  <c:v>254</c:v>
                </c:pt>
              </c:numCache>
            </c:numRef>
          </c:val>
          <c:extLst>
            <c:ext xmlns:c16="http://schemas.microsoft.com/office/drawing/2014/chart" uri="{C3380CC4-5D6E-409C-BE32-E72D297353CC}">
              <c16:uniqueId val="{0000000D-5935-424E-82A4-562545428A7B}"/>
            </c:ext>
          </c:extLst>
        </c:ser>
        <c:ser>
          <c:idx val="1"/>
          <c:order val="1"/>
          <c:tx>
            <c:strRef>
              <c:f>'Pivot Report'!$D$19</c:f>
              <c:strCache>
                <c:ptCount val="1"/>
                <c:pt idx="0">
                  <c:v>Count of Patient Admission Flag2</c:v>
                </c:pt>
              </c:strCache>
            </c:strRef>
          </c:tx>
          <c:spPr>
            <a:solidFill>
              <a:schemeClr val="accent2"/>
            </a:solidFill>
            <a:ln>
              <a:noFill/>
            </a:ln>
            <a:effectLst/>
          </c:spPr>
          <c:invertIfNegative val="0"/>
          <c:cat>
            <c:strRef>
              <c:f>'Pivot Report'!$B$20:$B$22</c:f>
              <c:strCache>
                <c:ptCount val="2"/>
                <c:pt idx="0">
                  <c:v>Admitted</c:v>
                </c:pt>
                <c:pt idx="1">
                  <c:v>Not Admitted</c:v>
                </c:pt>
              </c:strCache>
            </c:strRef>
          </c:cat>
          <c:val>
            <c:numRef>
              <c:f>'Pivot Report'!$D$20:$D$22</c:f>
              <c:numCache>
                <c:formatCode>0.00%</c:formatCode>
                <c:ptCount val="2"/>
                <c:pt idx="0">
                  <c:v>0.49802371541501977</c:v>
                </c:pt>
                <c:pt idx="1">
                  <c:v>0.50197628458498023</c:v>
                </c:pt>
              </c:numCache>
            </c:numRef>
          </c:val>
          <c:extLst>
            <c:ext xmlns:c16="http://schemas.microsoft.com/office/drawing/2014/chart" uri="{C3380CC4-5D6E-409C-BE32-E72D297353CC}">
              <c16:uniqueId val="{0000000E-5935-424E-82A4-562545428A7B}"/>
            </c:ext>
          </c:extLst>
        </c:ser>
        <c:dLbls>
          <c:showLegendKey val="0"/>
          <c:showVal val="0"/>
          <c:showCatName val="0"/>
          <c:showSerName val="0"/>
          <c:showPercent val="0"/>
          <c:showBubbleSize val="0"/>
        </c:dLbls>
        <c:gapWidth val="111"/>
        <c:overlap val="93"/>
        <c:axId val="1161865472"/>
        <c:axId val="1161864032"/>
      </c:barChart>
      <c:catAx>
        <c:axId val="116186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64032"/>
        <c:crosses val="autoZero"/>
        <c:auto val="1"/>
        <c:lblAlgn val="ctr"/>
        <c:lblOffset val="100"/>
        <c:noMultiLvlLbl val="0"/>
      </c:catAx>
      <c:valAx>
        <c:axId val="1161864032"/>
        <c:scaling>
          <c:orientation val="minMax"/>
        </c:scaling>
        <c:delete val="1"/>
        <c:axPos val="b"/>
        <c:numFmt formatCode="0" sourceLinked="1"/>
        <c:majorTickMark val="none"/>
        <c:minorTickMark val="none"/>
        <c:tickLblPos val="nextTo"/>
        <c:crossAx val="116186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01132647296544E-2"/>
          <c:y val="0.11758900407966516"/>
          <c:w val="0.9856988673527034"/>
          <c:h val="0.88241099592033467"/>
        </c:manualLayout>
      </c:layout>
      <c:areaChart>
        <c:grouping val="standard"/>
        <c:varyColors val="0"/>
        <c:ser>
          <c:idx val="0"/>
          <c:order val="0"/>
          <c:tx>
            <c:strRef>
              <c:f>'Pivot Report'!$F$3</c:f>
              <c:strCache>
                <c:ptCount val="1"/>
                <c:pt idx="0">
                  <c:v>Total</c:v>
                </c:pt>
              </c:strCache>
            </c:strRef>
          </c:tx>
          <c:spPr>
            <a:solidFill>
              <a:schemeClr val="accent1"/>
            </a:solidFill>
            <a:ln w="25400">
              <a:noFill/>
            </a:ln>
            <a:effectLst/>
          </c:spPr>
          <c:cat>
            <c:strRef>
              <c:f>'Pivot Report'!$E$4:$E$34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Report'!$F$4:$F$34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A-2803-4354-9C8C-26A291B25822}"/>
            </c:ext>
          </c:extLst>
        </c:ser>
        <c:dLbls>
          <c:showLegendKey val="0"/>
          <c:showVal val="0"/>
          <c:showCatName val="0"/>
          <c:showSerName val="0"/>
          <c:showPercent val="0"/>
          <c:showBubbleSize val="0"/>
        </c:dLbls>
        <c:axId val="1086263152"/>
        <c:axId val="1086266032"/>
      </c:areaChart>
      <c:catAx>
        <c:axId val="1086263152"/>
        <c:scaling>
          <c:orientation val="minMax"/>
        </c:scaling>
        <c:delete val="1"/>
        <c:axPos val="b"/>
        <c:numFmt formatCode="General" sourceLinked="1"/>
        <c:majorTickMark val="out"/>
        <c:minorTickMark val="none"/>
        <c:tickLblPos val="nextTo"/>
        <c:crossAx val="1086266032"/>
        <c:crosses val="autoZero"/>
        <c:auto val="1"/>
        <c:lblAlgn val="ctr"/>
        <c:lblOffset val="100"/>
        <c:noMultiLvlLbl val="0"/>
      </c:catAx>
      <c:valAx>
        <c:axId val="1086266032"/>
        <c:scaling>
          <c:orientation val="minMax"/>
        </c:scaling>
        <c:delete val="1"/>
        <c:axPos val="l"/>
        <c:numFmt formatCode="General" sourceLinked="1"/>
        <c:majorTickMark val="none"/>
        <c:minorTickMark val="none"/>
        <c:tickLblPos val="nextTo"/>
        <c:crossAx val="1086263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952262983786028"/>
          <c:w val="0.99225787730503412"/>
          <c:h val="0.85746099729668124"/>
        </c:manualLayout>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Report'!$J$4:$J$34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6-9C8E-4336-92AD-B87DAFC0DD03}"/>
            </c:ext>
          </c:extLst>
        </c:ser>
        <c:dLbls>
          <c:showLegendKey val="0"/>
          <c:showVal val="0"/>
          <c:showCatName val="0"/>
          <c:showSerName val="0"/>
          <c:showPercent val="0"/>
          <c:showBubbleSize val="0"/>
        </c:dLbls>
        <c:axId val="1072439424"/>
        <c:axId val="1072437504"/>
      </c:areaChart>
      <c:catAx>
        <c:axId val="1072439424"/>
        <c:scaling>
          <c:orientation val="minMax"/>
        </c:scaling>
        <c:delete val="1"/>
        <c:axPos val="b"/>
        <c:numFmt formatCode="General" sourceLinked="1"/>
        <c:majorTickMark val="out"/>
        <c:minorTickMark val="none"/>
        <c:tickLblPos val="nextTo"/>
        <c:crossAx val="1072437504"/>
        <c:crosses val="autoZero"/>
        <c:auto val="1"/>
        <c:lblAlgn val="ctr"/>
        <c:lblOffset val="100"/>
        <c:noMultiLvlLbl val="0"/>
      </c:catAx>
      <c:valAx>
        <c:axId val="1072437504"/>
        <c:scaling>
          <c:orientation val="minMax"/>
        </c:scaling>
        <c:delete val="1"/>
        <c:axPos val="l"/>
        <c:numFmt formatCode="0.00" sourceLinked="1"/>
        <c:majorTickMark val="none"/>
        <c:minorTickMark val="none"/>
        <c:tickLblPos val="nextTo"/>
        <c:crossAx val="1072439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87345958365246E-2"/>
          <c:y val="0.21177818677780649"/>
          <c:w val="0.88256501079161742"/>
          <c:h val="0.64083679377779135"/>
        </c:manualLayout>
      </c:layout>
      <c:areaChart>
        <c:grouping val="standard"/>
        <c:varyColors val="0"/>
        <c:ser>
          <c:idx val="0"/>
          <c:order val="0"/>
          <c:tx>
            <c:strRef>
              <c:f>'Pivot Report'!$N$3</c:f>
              <c:strCache>
                <c:ptCount val="1"/>
                <c:pt idx="0">
                  <c:v>Total</c:v>
                </c:pt>
              </c:strCache>
            </c:strRef>
          </c:tx>
          <c:spPr>
            <a:solidFill>
              <a:schemeClr val="accent1"/>
            </a:solidFill>
            <a:ln w="25400">
              <a:noFill/>
            </a:ln>
            <a:effectLst/>
          </c:spPr>
          <c:cat>
            <c:strRef>
              <c:f>'Pivot Report'!$M$4:$M$34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Report'!$N$4:$N$34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6-DE3A-45CD-9E1F-11984DF28828}"/>
            </c:ext>
          </c:extLst>
        </c:ser>
        <c:dLbls>
          <c:showLegendKey val="0"/>
          <c:showVal val="0"/>
          <c:showCatName val="0"/>
          <c:showSerName val="0"/>
          <c:showPercent val="0"/>
          <c:showBubbleSize val="0"/>
        </c:dLbls>
        <c:axId val="1161863072"/>
        <c:axId val="1161864512"/>
      </c:areaChart>
      <c:catAx>
        <c:axId val="1161863072"/>
        <c:scaling>
          <c:orientation val="minMax"/>
        </c:scaling>
        <c:delete val="1"/>
        <c:axPos val="b"/>
        <c:numFmt formatCode="General" sourceLinked="1"/>
        <c:majorTickMark val="out"/>
        <c:minorTickMark val="none"/>
        <c:tickLblPos val="nextTo"/>
        <c:crossAx val="1161864512"/>
        <c:crosses val="autoZero"/>
        <c:auto val="1"/>
        <c:lblAlgn val="ctr"/>
        <c:lblOffset val="100"/>
        <c:noMultiLvlLbl val="0"/>
      </c:catAx>
      <c:valAx>
        <c:axId val="1161864512"/>
        <c:scaling>
          <c:orientation val="minMax"/>
        </c:scaling>
        <c:delete val="1"/>
        <c:axPos val="l"/>
        <c:numFmt formatCode="0.00" sourceLinked="1"/>
        <c:majorTickMark val="none"/>
        <c:minorTickMark val="none"/>
        <c:tickLblPos val="nextTo"/>
        <c:crossAx val="116186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525040658007721"/>
          <c:w val="0.93888888888888888"/>
          <c:h val="0.57355128625146079"/>
        </c:manualLayout>
      </c:layout>
      <c:barChart>
        <c:barDir val="col"/>
        <c:grouping val="clustered"/>
        <c:varyColors val="0"/>
        <c:ser>
          <c:idx val="0"/>
          <c:order val="0"/>
          <c:tx>
            <c:strRef>
              <c:f>'Pivot Report'!$B$31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Report'!$A$32:$A$40</c:f>
              <c:strCache>
                <c:ptCount val="8"/>
                <c:pt idx="0">
                  <c:v>0-09</c:v>
                </c:pt>
                <c:pt idx="1">
                  <c:v>10-19</c:v>
                </c:pt>
                <c:pt idx="2">
                  <c:v>20-29</c:v>
                </c:pt>
                <c:pt idx="3">
                  <c:v>30-39</c:v>
                </c:pt>
                <c:pt idx="4">
                  <c:v>40-49</c:v>
                </c:pt>
                <c:pt idx="5">
                  <c:v>50-59</c:v>
                </c:pt>
                <c:pt idx="6">
                  <c:v>60-69</c:v>
                </c:pt>
                <c:pt idx="7">
                  <c:v>70-79</c:v>
                </c:pt>
              </c:strCache>
            </c:strRef>
          </c:cat>
          <c:val>
            <c:numRef>
              <c:f>'Pivot Report'!$B$32:$B$40</c:f>
              <c:numCache>
                <c:formatCode>General</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1-89EE-4B00-AABD-CC10975306C8}"/>
            </c:ext>
          </c:extLst>
        </c:ser>
        <c:dLbls>
          <c:showLegendKey val="0"/>
          <c:showVal val="0"/>
          <c:showCatName val="0"/>
          <c:showSerName val="0"/>
          <c:showPercent val="0"/>
          <c:showBubbleSize val="0"/>
        </c:dLbls>
        <c:gapWidth val="219"/>
        <c:overlap val="-27"/>
        <c:axId val="1075948656"/>
        <c:axId val="1075951056"/>
      </c:barChart>
      <c:catAx>
        <c:axId val="107594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75951056"/>
        <c:crosses val="autoZero"/>
        <c:auto val="1"/>
        <c:lblAlgn val="ctr"/>
        <c:lblOffset val="100"/>
        <c:noMultiLvlLbl val="0"/>
      </c:catAx>
      <c:valAx>
        <c:axId val="1075951056"/>
        <c:scaling>
          <c:orientation val="minMax"/>
        </c:scaling>
        <c:delete val="1"/>
        <c:axPos val="l"/>
        <c:numFmt formatCode="General" sourceLinked="1"/>
        <c:majorTickMark val="none"/>
        <c:minorTickMark val="none"/>
        <c:tickLblPos val="nextTo"/>
        <c:crossAx val="107594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304309902091904"/>
          <c:y val="0.19930245404227348"/>
          <c:w val="0.70679025343225299"/>
          <c:h val="0.70542339800571996"/>
        </c:manualLayout>
      </c:layout>
      <c:pieChart>
        <c:varyColors val="1"/>
        <c:ser>
          <c:idx val="0"/>
          <c:order val="0"/>
          <c:tx>
            <c:strRef>
              <c:f>'Pivot Report'!$B$45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6BD-4193-BAB2-CB22A8597E4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BD-4193-BAB2-CB22A8597E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Report'!$A$46:$A$48</c:f>
              <c:strCache>
                <c:ptCount val="2"/>
                <c:pt idx="0">
                  <c:v>Delay</c:v>
                </c:pt>
                <c:pt idx="1">
                  <c:v>OnTime</c:v>
                </c:pt>
              </c:strCache>
            </c:strRef>
          </c:cat>
          <c:val>
            <c:numRef>
              <c:f>'Pivot Report'!$B$46:$B$48</c:f>
              <c:numCache>
                <c:formatCode>General</c:formatCode>
                <c:ptCount val="2"/>
                <c:pt idx="0">
                  <c:v>311</c:v>
                </c:pt>
                <c:pt idx="1">
                  <c:v>195</c:v>
                </c:pt>
              </c:numCache>
            </c:numRef>
          </c:val>
          <c:extLst>
            <c:ext xmlns:c16="http://schemas.microsoft.com/office/drawing/2014/chart" uri="{C3380CC4-5D6E-409C-BE32-E72D297353CC}">
              <c16:uniqueId val="{00000004-36BD-4193-BAB2-CB22A8597E4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0736956034535752E-2"/>
          <c:y val="5.5131296338491011E-3"/>
          <c:w val="0.82855845612384238"/>
          <c:h val="0.20676082257759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Report!PivotTable15</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6.053084639172579E-2"/>
          <c:y val="0.14583333333333334"/>
          <c:w val="0.47073718198591513"/>
          <c:h val="0.52827172645086029"/>
        </c:manualLayout>
      </c:layout>
      <c:doughnutChart>
        <c:varyColors val="1"/>
        <c:ser>
          <c:idx val="0"/>
          <c:order val="0"/>
          <c:tx>
            <c:strRef>
              <c:f>'Pivot Report'!$B$51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4F8-4354-9621-65C46772CD3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4F8-4354-9621-65C46772CD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Report'!$A$52:$A$54</c:f>
              <c:strCache>
                <c:ptCount val="2"/>
                <c:pt idx="0">
                  <c:v>Female</c:v>
                </c:pt>
                <c:pt idx="1">
                  <c:v>Male</c:v>
                </c:pt>
              </c:strCache>
            </c:strRef>
          </c:cat>
          <c:val>
            <c:numRef>
              <c:f>'Pivot Report'!$B$52:$B$54</c:f>
              <c:numCache>
                <c:formatCode>General</c:formatCode>
                <c:ptCount val="2"/>
                <c:pt idx="0">
                  <c:v>233</c:v>
                </c:pt>
                <c:pt idx="1">
                  <c:v>273</c:v>
                </c:pt>
              </c:numCache>
            </c:numRef>
          </c:val>
          <c:extLst>
            <c:ext xmlns:c16="http://schemas.microsoft.com/office/drawing/2014/chart" uri="{C3380CC4-5D6E-409C-BE32-E72D297353CC}">
              <c16:uniqueId val="{00000004-84F8-4354-9621-65C46772CD3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6.4865128245107984E-2"/>
          <c:y val="2.3726305045202681E-2"/>
          <c:w val="0.46402250461266598"/>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Report'!$B$57:$B$65</c:f>
              <c:numCache>
                <c:formatCode>General</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0-9AAB-4A15-9B75-B1684308E879}"/>
            </c:ext>
          </c:extLst>
        </c:ser>
        <c:dLbls>
          <c:dLblPos val="outEnd"/>
          <c:showLegendKey val="0"/>
          <c:showVal val="1"/>
          <c:showCatName val="0"/>
          <c:showSerName val="0"/>
          <c:showPercent val="0"/>
          <c:showBubbleSize val="0"/>
        </c:dLbls>
        <c:gapWidth val="60"/>
        <c:axId val="600536128"/>
        <c:axId val="600533248"/>
      </c:barChart>
      <c:catAx>
        <c:axId val="60053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33248"/>
        <c:crosses val="autoZero"/>
        <c:auto val="1"/>
        <c:lblAlgn val="ctr"/>
        <c:lblOffset val="100"/>
        <c:noMultiLvlLbl val="0"/>
      </c:catAx>
      <c:valAx>
        <c:axId val="600533248"/>
        <c:scaling>
          <c:orientation val="minMax"/>
        </c:scaling>
        <c:delete val="1"/>
        <c:axPos val="b"/>
        <c:numFmt formatCode="General" sourceLinked="1"/>
        <c:majorTickMark val="none"/>
        <c:minorTickMark val="none"/>
        <c:tickLblPos val="nextTo"/>
        <c:crossAx val="60053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10"/>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28040244969382E-2"/>
          <c:y val="6.9444444444444448E-2"/>
          <c:w val="0.91160221875099612"/>
          <c:h val="0.82327031995494493"/>
        </c:manualLayout>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Report'!$E$4:$E$34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Report'!$F$4:$F$34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5-676A-4ED2-AD0B-2D74F8752AB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86263152"/>
        <c:axId val="1086266032"/>
      </c:areaChart>
      <c:catAx>
        <c:axId val="10862631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6266032"/>
        <c:crosses val="autoZero"/>
        <c:auto val="1"/>
        <c:lblAlgn val="ctr"/>
        <c:lblOffset val="100"/>
        <c:noMultiLvlLbl val="0"/>
      </c:catAx>
      <c:valAx>
        <c:axId val="1086266032"/>
        <c:scaling>
          <c:orientation val="minMax"/>
        </c:scaling>
        <c:delete val="1"/>
        <c:axPos val="l"/>
        <c:numFmt formatCode="General" sourceLinked="1"/>
        <c:majorTickMark val="out"/>
        <c:minorTickMark val="none"/>
        <c:tickLblPos val="nextTo"/>
        <c:crossAx val="1086263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69830591961604E-2"/>
          <c:y val="6.1162079510703363E-2"/>
          <c:w val="0.96044277198574401"/>
          <c:h val="0.86927267692455878"/>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Report'!$J$4:$J$34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5-17EE-4286-8B22-110FAE466A2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2439424"/>
        <c:axId val="1072437504"/>
      </c:areaChart>
      <c:catAx>
        <c:axId val="10724394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2437504"/>
        <c:crosses val="autoZero"/>
        <c:auto val="1"/>
        <c:lblAlgn val="ctr"/>
        <c:lblOffset val="100"/>
        <c:noMultiLvlLbl val="0"/>
      </c:catAx>
      <c:valAx>
        <c:axId val="1072437504"/>
        <c:scaling>
          <c:orientation val="minMax"/>
        </c:scaling>
        <c:delete val="1"/>
        <c:axPos val="l"/>
        <c:numFmt formatCode="0.00" sourceLinked="1"/>
        <c:majorTickMark val="out"/>
        <c:minorTickMark val="none"/>
        <c:tickLblPos val="nextTo"/>
        <c:crossAx val="1072439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Report'!$M$4:$M$34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Report'!$N$4:$N$34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5-0A79-47F1-AC34-9708086F4A1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61863072"/>
        <c:axId val="1161864512"/>
      </c:areaChart>
      <c:catAx>
        <c:axId val="11618630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1864512"/>
        <c:crosses val="autoZero"/>
        <c:auto val="1"/>
        <c:lblAlgn val="ctr"/>
        <c:lblOffset val="100"/>
        <c:noMultiLvlLbl val="0"/>
      </c:catAx>
      <c:valAx>
        <c:axId val="1161864512"/>
        <c:scaling>
          <c:orientation val="minMax"/>
        </c:scaling>
        <c:delete val="1"/>
        <c:axPos val="l"/>
        <c:numFmt formatCode="0.00" sourceLinked="1"/>
        <c:majorTickMark val="out"/>
        <c:minorTickMark val="none"/>
        <c:tickLblPos val="nextTo"/>
        <c:crossAx val="116186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 Dail'!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749968</xdr:colOff>
      <xdr:row>24</xdr:row>
      <xdr:rowOff>174702</xdr:rowOff>
    </xdr:from>
    <xdr:to>
      <xdr:col>4</xdr:col>
      <xdr:colOff>120316</xdr:colOff>
      <xdr:row>27</xdr:row>
      <xdr:rowOff>44606</xdr:rowOff>
    </xdr:to>
    <xdr:graphicFrame macro="">
      <xdr:nvGraphicFramePr>
        <xdr:cNvPr id="9" name="Chart 8">
          <a:extLst>
            <a:ext uri="{FF2B5EF4-FFF2-40B4-BE49-F238E27FC236}">
              <a16:creationId xmlns:a16="http://schemas.microsoft.com/office/drawing/2014/main" id="{0701E5B3-E531-A7C0-F41A-8B4940EF8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76200</xdr:rowOff>
    </xdr:from>
    <xdr:to>
      <xdr:col>7</xdr:col>
      <xdr:colOff>259080</xdr:colOff>
      <xdr:row>5</xdr:row>
      <xdr:rowOff>30480</xdr:rowOff>
    </xdr:to>
    <xdr:sp macro="" textlink="">
      <xdr:nvSpPr>
        <xdr:cNvPr id="2" name="Rectangle: Rounded Corners 1">
          <a:extLst>
            <a:ext uri="{FF2B5EF4-FFF2-40B4-BE49-F238E27FC236}">
              <a16:creationId xmlns:a16="http://schemas.microsoft.com/office/drawing/2014/main" id="{509F8EE3-408A-B820-00A9-DC7CA977EFDC}"/>
            </a:ext>
          </a:extLst>
        </xdr:cNvPr>
        <xdr:cNvSpPr/>
      </xdr:nvSpPr>
      <xdr:spPr>
        <a:xfrm>
          <a:off x="76200" y="76200"/>
          <a:ext cx="4450080" cy="868680"/>
        </a:xfrm>
        <a:prstGeom prst="roundRect">
          <a:avLst>
            <a:gd name="adj" fmla="val 140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335280</xdr:colOff>
      <xdr:row>0</xdr:row>
      <xdr:rowOff>38100</xdr:rowOff>
    </xdr:from>
    <xdr:to>
      <xdr:col>10</xdr:col>
      <xdr:colOff>53340</xdr:colOff>
      <xdr:row>4</xdr:row>
      <xdr:rowOff>175260</xdr:rowOff>
    </xdr:to>
    <xdr:sp macro="" textlink="">
      <xdr:nvSpPr>
        <xdr:cNvPr id="4" name="Rectangle: Rounded Corners 3">
          <a:extLst>
            <a:ext uri="{FF2B5EF4-FFF2-40B4-BE49-F238E27FC236}">
              <a16:creationId xmlns:a16="http://schemas.microsoft.com/office/drawing/2014/main" id="{DCE4DCA3-808B-53D5-C3B2-0DEF5456EFCC}"/>
            </a:ext>
          </a:extLst>
        </xdr:cNvPr>
        <xdr:cNvSpPr/>
      </xdr:nvSpPr>
      <xdr:spPr>
        <a:xfrm>
          <a:off x="4602480" y="38100"/>
          <a:ext cx="1546860" cy="868680"/>
        </a:xfrm>
        <a:prstGeom prst="roundRect">
          <a:avLst>
            <a:gd name="adj" fmla="val 1228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205740</xdr:colOff>
      <xdr:row>0</xdr:row>
      <xdr:rowOff>76200</xdr:rowOff>
    </xdr:from>
    <xdr:to>
      <xdr:col>13</xdr:col>
      <xdr:colOff>289560</xdr:colOff>
      <xdr:row>12</xdr:row>
      <xdr:rowOff>60960</xdr:rowOff>
    </xdr:to>
    <xdr:sp macro="" textlink="">
      <xdr:nvSpPr>
        <xdr:cNvPr id="5" name="Rectangle: Rounded Corners 4">
          <a:extLst>
            <a:ext uri="{FF2B5EF4-FFF2-40B4-BE49-F238E27FC236}">
              <a16:creationId xmlns:a16="http://schemas.microsoft.com/office/drawing/2014/main" id="{A36C54BB-BCDC-C4A0-3178-220D66ADDD9B}"/>
            </a:ext>
          </a:extLst>
        </xdr:cNvPr>
        <xdr:cNvSpPr/>
      </xdr:nvSpPr>
      <xdr:spPr>
        <a:xfrm>
          <a:off x="6301740" y="76200"/>
          <a:ext cx="1912620" cy="2179320"/>
        </a:xfrm>
        <a:prstGeom prst="roundRect">
          <a:avLst>
            <a:gd name="adj" fmla="val 67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403860</xdr:colOff>
      <xdr:row>0</xdr:row>
      <xdr:rowOff>76200</xdr:rowOff>
    </xdr:from>
    <xdr:to>
      <xdr:col>16</xdr:col>
      <xdr:colOff>487680</xdr:colOff>
      <xdr:row>12</xdr:row>
      <xdr:rowOff>60960</xdr:rowOff>
    </xdr:to>
    <xdr:sp macro="" textlink="">
      <xdr:nvSpPr>
        <xdr:cNvPr id="6" name="Rectangle: Rounded Corners 5">
          <a:extLst>
            <a:ext uri="{FF2B5EF4-FFF2-40B4-BE49-F238E27FC236}">
              <a16:creationId xmlns:a16="http://schemas.microsoft.com/office/drawing/2014/main" id="{38C3BCEA-79A6-B7A8-FE04-3C7B22DA46FD}"/>
            </a:ext>
          </a:extLst>
        </xdr:cNvPr>
        <xdr:cNvSpPr/>
      </xdr:nvSpPr>
      <xdr:spPr>
        <a:xfrm>
          <a:off x="8328660" y="76200"/>
          <a:ext cx="1912620" cy="2179320"/>
        </a:xfrm>
        <a:prstGeom prst="roundRect">
          <a:avLst>
            <a:gd name="adj" fmla="val 759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76200</xdr:colOff>
      <xdr:row>5</xdr:row>
      <xdr:rowOff>144780</xdr:rowOff>
    </xdr:from>
    <xdr:to>
      <xdr:col>1</xdr:col>
      <xdr:colOff>525780</xdr:colOff>
      <xdr:row>26</xdr:row>
      <xdr:rowOff>144780</xdr:rowOff>
    </xdr:to>
    <xdr:sp macro="" textlink="">
      <xdr:nvSpPr>
        <xdr:cNvPr id="7" name="Rectangle: Rounded Corners 6">
          <a:extLst>
            <a:ext uri="{FF2B5EF4-FFF2-40B4-BE49-F238E27FC236}">
              <a16:creationId xmlns:a16="http://schemas.microsoft.com/office/drawing/2014/main" id="{5A034E44-B34C-2AA7-BD0A-7D9AD4004739}"/>
            </a:ext>
          </a:extLst>
        </xdr:cNvPr>
        <xdr:cNvSpPr/>
      </xdr:nvSpPr>
      <xdr:spPr>
        <a:xfrm>
          <a:off x="76200" y="1059180"/>
          <a:ext cx="1059180" cy="3840480"/>
        </a:xfrm>
        <a:prstGeom prst="roundRect">
          <a:avLst>
            <a:gd name="adj" fmla="val 140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571500</xdr:colOff>
      <xdr:row>5</xdr:row>
      <xdr:rowOff>144780</xdr:rowOff>
    </xdr:from>
    <xdr:to>
      <xdr:col>4</xdr:col>
      <xdr:colOff>388620</xdr:colOff>
      <xdr:row>12</xdr:row>
      <xdr:rowOff>175260</xdr:rowOff>
    </xdr:to>
    <xdr:sp macro="" textlink="">
      <xdr:nvSpPr>
        <xdr:cNvPr id="8" name="Rectangle: Rounded Corners 7">
          <a:extLst>
            <a:ext uri="{FF2B5EF4-FFF2-40B4-BE49-F238E27FC236}">
              <a16:creationId xmlns:a16="http://schemas.microsoft.com/office/drawing/2014/main" id="{834B18C5-7BAB-6C1B-A4A6-41474DF57782}"/>
            </a:ext>
          </a:extLst>
        </xdr:cNvPr>
        <xdr:cNvSpPr/>
      </xdr:nvSpPr>
      <xdr:spPr>
        <a:xfrm>
          <a:off x="1181100" y="1059180"/>
          <a:ext cx="1645920" cy="1310640"/>
        </a:xfrm>
        <a:prstGeom prst="roundRect">
          <a:avLst>
            <a:gd name="adj" fmla="val 398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571500</xdr:colOff>
      <xdr:row>17</xdr:row>
      <xdr:rowOff>38100</xdr:rowOff>
    </xdr:from>
    <xdr:to>
      <xdr:col>10</xdr:col>
      <xdr:colOff>289560</xdr:colOff>
      <xdr:row>26</xdr:row>
      <xdr:rowOff>106680</xdr:rowOff>
    </xdr:to>
    <xdr:sp macro="" textlink="">
      <xdr:nvSpPr>
        <xdr:cNvPr id="16" name="Rectangle: Rounded Corners 15">
          <a:extLst>
            <a:ext uri="{FF2B5EF4-FFF2-40B4-BE49-F238E27FC236}">
              <a16:creationId xmlns:a16="http://schemas.microsoft.com/office/drawing/2014/main" id="{58DB68C9-F7A9-41E9-8D19-F3C239715406}"/>
            </a:ext>
          </a:extLst>
        </xdr:cNvPr>
        <xdr:cNvSpPr/>
      </xdr:nvSpPr>
      <xdr:spPr>
        <a:xfrm>
          <a:off x="1181100" y="3147060"/>
          <a:ext cx="5204460" cy="1714500"/>
        </a:xfrm>
        <a:prstGeom prst="roundRect">
          <a:avLst>
            <a:gd name="adj" fmla="val 84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571500</xdr:colOff>
      <xdr:row>13</xdr:row>
      <xdr:rowOff>53340</xdr:rowOff>
    </xdr:from>
    <xdr:to>
      <xdr:col>10</xdr:col>
      <xdr:colOff>289560</xdr:colOff>
      <xdr:row>16</xdr:row>
      <xdr:rowOff>144780</xdr:rowOff>
    </xdr:to>
    <xdr:sp macro="" textlink="">
      <xdr:nvSpPr>
        <xdr:cNvPr id="17" name="Rectangle: Rounded Corners 16">
          <a:extLst>
            <a:ext uri="{FF2B5EF4-FFF2-40B4-BE49-F238E27FC236}">
              <a16:creationId xmlns:a16="http://schemas.microsoft.com/office/drawing/2014/main" id="{3EB741E9-D0C0-3177-D6B3-CDBE23353CC0}"/>
            </a:ext>
          </a:extLst>
        </xdr:cNvPr>
        <xdr:cNvSpPr/>
      </xdr:nvSpPr>
      <xdr:spPr>
        <a:xfrm>
          <a:off x="1181100" y="2430780"/>
          <a:ext cx="5204460" cy="640080"/>
        </a:xfrm>
        <a:prstGeom prst="roundRect">
          <a:avLst>
            <a:gd name="adj" fmla="val 84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358140</xdr:colOff>
      <xdr:row>12</xdr:row>
      <xdr:rowOff>121920</xdr:rowOff>
    </xdr:from>
    <xdr:to>
      <xdr:col>17</xdr:col>
      <xdr:colOff>15240</xdr:colOff>
      <xdr:row>26</xdr:row>
      <xdr:rowOff>106680</xdr:rowOff>
    </xdr:to>
    <xdr:sp macro="" textlink="">
      <xdr:nvSpPr>
        <xdr:cNvPr id="18" name="Rectangle: Rounded Corners 17">
          <a:extLst>
            <a:ext uri="{FF2B5EF4-FFF2-40B4-BE49-F238E27FC236}">
              <a16:creationId xmlns:a16="http://schemas.microsoft.com/office/drawing/2014/main" id="{0A2E039A-3DFD-D852-50A2-44E2735121B4}"/>
            </a:ext>
          </a:extLst>
        </xdr:cNvPr>
        <xdr:cNvSpPr/>
      </xdr:nvSpPr>
      <xdr:spPr>
        <a:xfrm>
          <a:off x="6454140" y="2316480"/>
          <a:ext cx="3924300" cy="2545080"/>
        </a:xfrm>
        <a:prstGeom prst="roundRect">
          <a:avLst>
            <a:gd name="adj" fmla="val 579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187626</xdr:colOff>
      <xdr:row>1</xdr:row>
      <xdr:rowOff>62556</xdr:rowOff>
    </xdr:from>
    <xdr:to>
      <xdr:col>7</xdr:col>
      <xdr:colOff>320040</xdr:colOff>
      <xdr:row>3</xdr:row>
      <xdr:rowOff>137160</xdr:rowOff>
    </xdr:to>
    <xdr:sp macro="" textlink="">
      <xdr:nvSpPr>
        <xdr:cNvPr id="19" name="TextBox 18">
          <a:extLst>
            <a:ext uri="{FF2B5EF4-FFF2-40B4-BE49-F238E27FC236}">
              <a16:creationId xmlns:a16="http://schemas.microsoft.com/office/drawing/2014/main" id="{F9208393-6FCE-ADA3-5400-01D57F3CB027}"/>
            </a:ext>
          </a:extLst>
        </xdr:cNvPr>
        <xdr:cNvSpPr txBox="1"/>
      </xdr:nvSpPr>
      <xdr:spPr>
        <a:xfrm>
          <a:off x="797226" y="245436"/>
          <a:ext cx="3790014" cy="440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latin typeface="Bahnschrift" panose="020B0502040204020203" pitchFamily="34" charset="0"/>
            </a:rPr>
            <a:t>Hospital Emeagency</a:t>
          </a:r>
          <a:r>
            <a:rPr lang="en-US" sz="1600" b="1" baseline="0">
              <a:latin typeface="Bahnschrift" panose="020B0502040204020203" pitchFamily="34" charset="0"/>
            </a:rPr>
            <a:t> Room Dashboard</a:t>
          </a:r>
          <a:endParaRPr lang="en-US" sz="1600" b="1">
            <a:latin typeface="Bahnschrift" panose="020B0502040204020203" pitchFamily="34" charset="0"/>
          </a:endParaRPr>
        </a:p>
      </xdr:txBody>
    </xdr:sp>
    <xdr:clientData/>
  </xdr:twoCellAnchor>
  <xdr:oneCellAnchor>
    <xdr:from>
      <xdr:col>22</xdr:col>
      <xdr:colOff>0</xdr:colOff>
      <xdr:row>12</xdr:row>
      <xdr:rowOff>83820</xdr:rowOff>
    </xdr:from>
    <xdr:ext cx="184731" cy="264560"/>
    <xdr:sp macro="" textlink="">
      <xdr:nvSpPr>
        <xdr:cNvPr id="20" name="TextBox 19">
          <a:extLst>
            <a:ext uri="{FF2B5EF4-FFF2-40B4-BE49-F238E27FC236}">
              <a16:creationId xmlns:a16="http://schemas.microsoft.com/office/drawing/2014/main" id="{A2B3CC03-BDA6-DBCE-BCE4-E51BB0AEC7F9}"/>
            </a:ext>
          </a:extLst>
        </xdr:cNvPr>
        <xdr:cNvSpPr txBox="1"/>
      </xdr:nvSpPr>
      <xdr:spPr>
        <a:xfrm>
          <a:off x="13411200" y="2278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137460</xdr:colOff>
      <xdr:row>0</xdr:row>
      <xdr:rowOff>147252</xdr:rowOff>
    </xdr:from>
    <xdr:to>
      <xdr:col>1</xdr:col>
      <xdr:colOff>312420</xdr:colOff>
      <xdr:row>4</xdr:row>
      <xdr:rowOff>68579</xdr:rowOff>
    </xdr:to>
    <xdr:pic>
      <xdr:nvPicPr>
        <xdr:cNvPr id="22" name="Picture 21">
          <a:extLst>
            <a:ext uri="{FF2B5EF4-FFF2-40B4-BE49-F238E27FC236}">
              <a16:creationId xmlns:a16="http://schemas.microsoft.com/office/drawing/2014/main" id="{9B68E509-7B6E-3FC5-CA81-9900CE3384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91" t="1643" r="23120" b="11420"/>
        <a:stretch>
          <a:fillRect/>
        </a:stretch>
      </xdr:blipFill>
      <xdr:spPr>
        <a:xfrm>
          <a:off x="137460" y="147252"/>
          <a:ext cx="784560" cy="652847"/>
        </a:xfrm>
        <a:prstGeom prst="rect">
          <a:avLst/>
        </a:prstGeom>
      </xdr:spPr>
    </xdr:pic>
    <xdr:clientData/>
  </xdr:twoCellAnchor>
  <xdr:twoCellAnchor editAs="absolute">
    <xdr:from>
      <xdr:col>2</xdr:col>
      <xdr:colOff>441960</xdr:colOff>
      <xdr:row>2</xdr:row>
      <xdr:rowOff>171450</xdr:rowOff>
    </xdr:from>
    <xdr:to>
      <xdr:col>5</xdr:col>
      <xdr:colOff>350520</xdr:colOff>
      <xdr:row>5</xdr:row>
      <xdr:rowOff>0</xdr:rowOff>
    </xdr:to>
    <xdr:sp macro="" textlink="">
      <xdr:nvSpPr>
        <xdr:cNvPr id="25" name="TextBox 24">
          <a:extLst>
            <a:ext uri="{FF2B5EF4-FFF2-40B4-BE49-F238E27FC236}">
              <a16:creationId xmlns:a16="http://schemas.microsoft.com/office/drawing/2014/main" id="{E4DD747E-411B-6D34-8AD0-08B4ED39A989}"/>
            </a:ext>
          </a:extLst>
        </xdr:cNvPr>
        <xdr:cNvSpPr txBox="1"/>
      </xdr:nvSpPr>
      <xdr:spPr>
        <a:xfrm>
          <a:off x="1661160" y="53721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0">
              <a:latin typeface="+mj-lt"/>
            </a:rPr>
            <a:t>Monthly Report</a:t>
          </a:r>
        </a:p>
      </xdr:txBody>
    </xdr:sp>
    <xdr:clientData/>
  </xdr:twoCellAnchor>
  <xdr:twoCellAnchor editAs="absolute">
    <xdr:from>
      <xdr:col>2</xdr:col>
      <xdr:colOff>182880</xdr:colOff>
      <xdr:row>6</xdr:row>
      <xdr:rowOff>163830</xdr:rowOff>
    </xdr:from>
    <xdr:to>
      <xdr:col>4</xdr:col>
      <xdr:colOff>213360</xdr:colOff>
      <xdr:row>9</xdr:row>
      <xdr:rowOff>7620</xdr:rowOff>
    </xdr:to>
    <xdr:sp macro="" textlink="'Pivot Report'!B6">
      <xdr:nvSpPr>
        <xdr:cNvPr id="26" name="TextBox 25">
          <a:extLst>
            <a:ext uri="{FF2B5EF4-FFF2-40B4-BE49-F238E27FC236}">
              <a16:creationId xmlns:a16="http://schemas.microsoft.com/office/drawing/2014/main" id="{92C7A4C1-F6EC-6F94-6CD1-A715D10AAAF9}"/>
            </a:ext>
          </a:extLst>
        </xdr:cNvPr>
        <xdr:cNvSpPr txBox="1"/>
      </xdr:nvSpPr>
      <xdr:spPr>
        <a:xfrm>
          <a:off x="1402080" y="1261110"/>
          <a:ext cx="1249680" cy="39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726B486-CC0F-4F52-81B9-CF684141042D}" type="TxLink">
            <a:rPr lang="en-US" sz="2000" b="1" i="0" u="none" strike="noStrike">
              <a:solidFill>
                <a:srgbClr val="000000"/>
              </a:solidFill>
              <a:latin typeface="Calibri"/>
              <a:ea typeface="Calibri"/>
              <a:cs typeface="Calibri"/>
            </a:rPr>
            <a:pPr algn="ctr"/>
            <a:t>506</a:t>
          </a:fld>
          <a:endParaRPr lang="en-US" sz="1200" b="1"/>
        </a:p>
      </xdr:txBody>
    </xdr:sp>
    <xdr:clientData/>
  </xdr:twoCellAnchor>
  <xdr:twoCellAnchor editAs="absolute">
    <xdr:from>
      <xdr:col>1</xdr:col>
      <xdr:colOff>518160</xdr:colOff>
      <xdr:row>8</xdr:row>
      <xdr:rowOff>163830</xdr:rowOff>
    </xdr:from>
    <xdr:to>
      <xdr:col>4</xdr:col>
      <xdr:colOff>426720</xdr:colOff>
      <xdr:row>10</xdr:row>
      <xdr:rowOff>175260</xdr:rowOff>
    </xdr:to>
    <xdr:sp macro="" textlink="">
      <xdr:nvSpPr>
        <xdr:cNvPr id="27" name="TextBox 26">
          <a:extLst>
            <a:ext uri="{FF2B5EF4-FFF2-40B4-BE49-F238E27FC236}">
              <a16:creationId xmlns:a16="http://schemas.microsoft.com/office/drawing/2014/main" id="{69C83933-6A89-B994-1010-AC09AD22123F}"/>
            </a:ext>
          </a:extLst>
        </xdr:cNvPr>
        <xdr:cNvSpPr txBox="1"/>
      </xdr:nvSpPr>
      <xdr:spPr>
        <a:xfrm>
          <a:off x="1127760" y="162687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No.</a:t>
          </a:r>
          <a:r>
            <a:rPr lang="en-US" sz="1200" b="1" baseline="0">
              <a:latin typeface="+mj-lt"/>
            </a:rPr>
            <a:t> of Pateint</a:t>
          </a:r>
          <a:endParaRPr lang="en-US" sz="1200" b="1">
            <a:latin typeface="+mj-lt"/>
          </a:endParaRPr>
        </a:p>
      </xdr:txBody>
    </xdr:sp>
    <xdr:clientData/>
  </xdr:twoCellAnchor>
  <xdr:twoCellAnchor editAs="absolute">
    <xdr:from>
      <xdr:col>4</xdr:col>
      <xdr:colOff>464820</xdr:colOff>
      <xdr:row>5</xdr:row>
      <xdr:rowOff>144780</xdr:rowOff>
    </xdr:from>
    <xdr:to>
      <xdr:col>7</xdr:col>
      <xdr:colOff>281940</xdr:colOff>
      <xdr:row>12</xdr:row>
      <xdr:rowOff>175260</xdr:rowOff>
    </xdr:to>
    <xdr:sp macro="" textlink="">
      <xdr:nvSpPr>
        <xdr:cNvPr id="28" name="Rectangle: Rounded Corners 27">
          <a:extLst>
            <a:ext uri="{FF2B5EF4-FFF2-40B4-BE49-F238E27FC236}">
              <a16:creationId xmlns:a16="http://schemas.microsoft.com/office/drawing/2014/main" id="{B3FB29EA-7FA8-26C5-A67D-B876910BE986}"/>
            </a:ext>
          </a:extLst>
        </xdr:cNvPr>
        <xdr:cNvSpPr/>
      </xdr:nvSpPr>
      <xdr:spPr>
        <a:xfrm>
          <a:off x="2903220" y="1059180"/>
          <a:ext cx="1645920" cy="1310640"/>
        </a:xfrm>
        <a:prstGeom prst="roundRect">
          <a:avLst>
            <a:gd name="adj" fmla="val 53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76200</xdr:colOff>
      <xdr:row>6</xdr:row>
      <xdr:rowOff>163830</xdr:rowOff>
    </xdr:from>
    <xdr:to>
      <xdr:col>7</xdr:col>
      <xdr:colOff>106680</xdr:colOff>
      <xdr:row>9</xdr:row>
      <xdr:rowOff>7620</xdr:rowOff>
    </xdr:to>
    <xdr:sp macro="" textlink="'Pivot Report'!B11">
      <xdr:nvSpPr>
        <xdr:cNvPr id="29" name="TextBox 28">
          <a:extLst>
            <a:ext uri="{FF2B5EF4-FFF2-40B4-BE49-F238E27FC236}">
              <a16:creationId xmlns:a16="http://schemas.microsoft.com/office/drawing/2014/main" id="{538B01DA-FDA9-C0CA-647E-DEB641989651}"/>
            </a:ext>
          </a:extLst>
        </xdr:cNvPr>
        <xdr:cNvSpPr txBox="1"/>
      </xdr:nvSpPr>
      <xdr:spPr>
        <a:xfrm>
          <a:off x="3124200" y="1261110"/>
          <a:ext cx="1249680" cy="39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7ABFEDF-200A-4AF6-903F-5D946BADCB3F}" type="TxLink">
            <a:rPr lang="en-US" sz="2000" b="1" i="0" u="none" strike="noStrike">
              <a:solidFill>
                <a:srgbClr val="000000"/>
              </a:solidFill>
              <a:latin typeface="Calibri"/>
              <a:ea typeface="Calibri"/>
              <a:cs typeface="Calibri"/>
            </a:rPr>
            <a:pPr algn="ctr"/>
            <a:t>35.58</a:t>
          </a:fld>
          <a:endParaRPr lang="en-US" sz="1200" b="1"/>
        </a:p>
      </xdr:txBody>
    </xdr:sp>
    <xdr:clientData/>
  </xdr:twoCellAnchor>
  <xdr:twoCellAnchor editAs="absolute">
    <xdr:from>
      <xdr:col>4</xdr:col>
      <xdr:colOff>411480</xdr:colOff>
      <xdr:row>8</xdr:row>
      <xdr:rowOff>163830</xdr:rowOff>
    </xdr:from>
    <xdr:to>
      <xdr:col>7</xdr:col>
      <xdr:colOff>320040</xdr:colOff>
      <xdr:row>10</xdr:row>
      <xdr:rowOff>175260</xdr:rowOff>
    </xdr:to>
    <xdr:sp macro="" textlink="">
      <xdr:nvSpPr>
        <xdr:cNvPr id="30" name="TextBox 29">
          <a:extLst>
            <a:ext uri="{FF2B5EF4-FFF2-40B4-BE49-F238E27FC236}">
              <a16:creationId xmlns:a16="http://schemas.microsoft.com/office/drawing/2014/main" id="{BA139572-1341-20D9-80A2-0D3D46A27891}"/>
            </a:ext>
          </a:extLst>
        </xdr:cNvPr>
        <xdr:cNvSpPr txBox="1"/>
      </xdr:nvSpPr>
      <xdr:spPr>
        <a:xfrm>
          <a:off x="2849880" y="162687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Avrage</a:t>
          </a:r>
          <a:r>
            <a:rPr lang="en-US" sz="1200" b="1" baseline="0">
              <a:latin typeface="+mj-lt"/>
            </a:rPr>
            <a:t> Wait Time</a:t>
          </a:r>
          <a:endParaRPr lang="en-US" sz="1200" b="1">
            <a:latin typeface="+mj-lt"/>
          </a:endParaRPr>
        </a:p>
      </xdr:txBody>
    </xdr:sp>
    <xdr:clientData/>
  </xdr:twoCellAnchor>
  <xdr:twoCellAnchor editAs="absolute">
    <xdr:from>
      <xdr:col>7</xdr:col>
      <xdr:colOff>335280</xdr:colOff>
      <xdr:row>5</xdr:row>
      <xdr:rowOff>144780</xdr:rowOff>
    </xdr:from>
    <xdr:to>
      <xdr:col>10</xdr:col>
      <xdr:colOff>152400</xdr:colOff>
      <xdr:row>12</xdr:row>
      <xdr:rowOff>175260</xdr:rowOff>
    </xdr:to>
    <xdr:sp macro="" textlink="">
      <xdr:nvSpPr>
        <xdr:cNvPr id="31" name="Rectangle: Rounded Corners 30">
          <a:extLst>
            <a:ext uri="{FF2B5EF4-FFF2-40B4-BE49-F238E27FC236}">
              <a16:creationId xmlns:a16="http://schemas.microsoft.com/office/drawing/2014/main" id="{76CAECBA-6F09-39CF-92D7-A0B16FA68FE2}"/>
            </a:ext>
          </a:extLst>
        </xdr:cNvPr>
        <xdr:cNvSpPr/>
      </xdr:nvSpPr>
      <xdr:spPr>
        <a:xfrm>
          <a:off x="4602480" y="1059180"/>
          <a:ext cx="1645920" cy="1310640"/>
        </a:xfrm>
        <a:prstGeom prst="roundRect">
          <a:avLst>
            <a:gd name="adj" fmla="val 357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556260</xdr:colOff>
      <xdr:row>6</xdr:row>
      <xdr:rowOff>163830</xdr:rowOff>
    </xdr:from>
    <xdr:to>
      <xdr:col>9</xdr:col>
      <xdr:colOff>586740</xdr:colOff>
      <xdr:row>9</xdr:row>
      <xdr:rowOff>7620</xdr:rowOff>
    </xdr:to>
    <xdr:sp macro="" textlink="'Pivot Report'!B15">
      <xdr:nvSpPr>
        <xdr:cNvPr id="32" name="TextBox 31">
          <a:extLst>
            <a:ext uri="{FF2B5EF4-FFF2-40B4-BE49-F238E27FC236}">
              <a16:creationId xmlns:a16="http://schemas.microsoft.com/office/drawing/2014/main" id="{FEA30547-E3DD-4233-71EB-98696A25347C}"/>
            </a:ext>
          </a:extLst>
        </xdr:cNvPr>
        <xdr:cNvSpPr txBox="1"/>
      </xdr:nvSpPr>
      <xdr:spPr>
        <a:xfrm>
          <a:off x="4823460" y="1261110"/>
          <a:ext cx="1249680" cy="39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46B2F91-F4A0-4928-B4D7-FEAB5BF00365}" type="TxLink">
            <a:rPr lang="en-US" sz="2000" b="1" i="0" u="none" strike="noStrike">
              <a:solidFill>
                <a:srgbClr val="000000"/>
              </a:solidFill>
              <a:latin typeface="Calibri"/>
              <a:ea typeface="Calibri"/>
              <a:cs typeface="Calibri"/>
            </a:rPr>
            <a:pPr algn="ctr"/>
            <a:t>5.18</a:t>
          </a:fld>
          <a:endParaRPr lang="en-US" sz="1200" b="1"/>
        </a:p>
      </xdr:txBody>
    </xdr:sp>
    <xdr:clientData/>
  </xdr:twoCellAnchor>
  <xdr:twoCellAnchor editAs="absolute">
    <xdr:from>
      <xdr:col>7</xdr:col>
      <xdr:colOff>175260</xdr:colOff>
      <xdr:row>8</xdr:row>
      <xdr:rowOff>163830</xdr:rowOff>
    </xdr:from>
    <xdr:to>
      <xdr:col>10</xdr:col>
      <xdr:colOff>220980</xdr:colOff>
      <xdr:row>10</xdr:row>
      <xdr:rowOff>175260</xdr:rowOff>
    </xdr:to>
    <xdr:sp macro="" textlink="">
      <xdr:nvSpPr>
        <xdr:cNvPr id="33" name="TextBox 32">
          <a:extLst>
            <a:ext uri="{FF2B5EF4-FFF2-40B4-BE49-F238E27FC236}">
              <a16:creationId xmlns:a16="http://schemas.microsoft.com/office/drawing/2014/main" id="{FE5B0D96-A690-4EE1-3036-BE3C567C4A0E}"/>
            </a:ext>
          </a:extLst>
        </xdr:cNvPr>
        <xdr:cNvSpPr txBox="1"/>
      </xdr:nvSpPr>
      <xdr:spPr>
        <a:xfrm>
          <a:off x="4442460" y="1626870"/>
          <a:ext cx="187452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Patenit</a:t>
          </a:r>
          <a:r>
            <a:rPr lang="en-US" sz="1200" b="1" baseline="0">
              <a:latin typeface="+mj-lt"/>
            </a:rPr>
            <a:t> </a:t>
          </a:r>
          <a:r>
            <a:rPr lang="en-US" sz="1200" b="1">
              <a:latin typeface="+mj-lt"/>
            </a:rPr>
            <a:t>Satisfaction Score</a:t>
          </a:r>
        </a:p>
      </xdr:txBody>
    </xdr:sp>
    <xdr:clientData/>
  </xdr:twoCellAnchor>
  <xdr:twoCellAnchor editAs="oneCell">
    <xdr:from>
      <xdr:col>2</xdr:col>
      <xdr:colOff>175260</xdr:colOff>
      <xdr:row>6</xdr:row>
      <xdr:rowOff>175260</xdr:rowOff>
    </xdr:from>
    <xdr:to>
      <xdr:col>2</xdr:col>
      <xdr:colOff>525780</xdr:colOff>
      <xdr:row>8</xdr:row>
      <xdr:rowOff>160020</xdr:rowOff>
    </xdr:to>
    <xdr:pic>
      <xdr:nvPicPr>
        <xdr:cNvPr id="35" name="Graphic 34" descr="Male profile with solid fill">
          <a:extLst>
            <a:ext uri="{FF2B5EF4-FFF2-40B4-BE49-F238E27FC236}">
              <a16:creationId xmlns:a16="http://schemas.microsoft.com/office/drawing/2014/main" id="{6E30F10D-7E8B-DB99-2328-3CA7395D3BE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94460" y="1272540"/>
          <a:ext cx="350520" cy="350520"/>
        </a:xfrm>
        <a:prstGeom prst="rect">
          <a:avLst/>
        </a:prstGeom>
      </xdr:spPr>
    </xdr:pic>
    <xdr:clientData/>
  </xdr:twoCellAnchor>
  <xdr:twoCellAnchor editAs="oneCell">
    <xdr:from>
      <xdr:col>5</xdr:col>
      <xdr:colOff>53340</xdr:colOff>
      <xdr:row>7</xdr:row>
      <xdr:rowOff>38100</xdr:rowOff>
    </xdr:from>
    <xdr:to>
      <xdr:col>5</xdr:col>
      <xdr:colOff>358140</xdr:colOff>
      <xdr:row>8</xdr:row>
      <xdr:rowOff>160020</xdr:rowOff>
    </xdr:to>
    <xdr:pic>
      <xdr:nvPicPr>
        <xdr:cNvPr id="39" name="Graphic 38" descr="Hourglass Finished with solid fill">
          <a:extLst>
            <a:ext uri="{FF2B5EF4-FFF2-40B4-BE49-F238E27FC236}">
              <a16:creationId xmlns:a16="http://schemas.microsoft.com/office/drawing/2014/main" id="{1582A529-AFA4-765E-99B0-DCA555A43D4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01340" y="1318260"/>
          <a:ext cx="304800" cy="304800"/>
        </a:xfrm>
        <a:prstGeom prst="rect">
          <a:avLst/>
        </a:prstGeom>
      </xdr:spPr>
    </xdr:pic>
    <xdr:clientData/>
  </xdr:twoCellAnchor>
  <xdr:twoCellAnchor editAs="oneCell">
    <xdr:from>
      <xdr:col>7</xdr:col>
      <xdr:colOff>508140</xdr:colOff>
      <xdr:row>6</xdr:row>
      <xdr:rowOff>180480</xdr:rowOff>
    </xdr:from>
    <xdr:to>
      <xdr:col>8</xdr:col>
      <xdr:colOff>228600</xdr:colOff>
      <xdr:row>8</xdr:row>
      <xdr:rowOff>144780</xdr:rowOff>
    </xdr:to>
    <xdr:pic>
      <xdr:nvPicPr>
        <xdr:cNvPr id="41" name="Graphic 40" descr="Customer review with solid fill">
          <a:extLst>
            <a:ext uri="{FF2B5EF4-FFF2-40B4-BE49-F238E27FC236}">
              <a16:creationId xmlns:a16="http://schemas.microsoft.com/office/drawing/2014/main" id="{3BF51C68-9066-9BBA-60FC-8F8931283F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75340" y="1277760"/>
          <a:ext cx="330060" cy="330060"/>
        </a:xfrm>
        <a:prstGeom prst="rect">
          <a:avLst/>
        </a:prstGeom>
      </xdr:spPr>
    </xdr:pic>
    <xdr:clientData/>
  </xdr:twoCellAnchor>
  <xdr:twoCellAnchor editAs="oneCell">
    <xdr:from>
      <xdr:col>0</xdr:col>
      <xdr:colOff>106680</xdr:colOff>
      <xdr:row>7</xdr:row>
      <xdr:rowOff>2650</xdr:rowOff>
    </xdr:from>
    <xdr:to>
      <xdr:col>1</xdr:col>
      <xdr:colOff>495300</xdr:colOff>
      <xdr:row>26</xdr:row>
      <xdr:rowOff>25510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D869E306-B54A-455E-AE10-B82AEC1DC4A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680" y="1282810"/>
              <a:ext cx="998220" cy="3497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558049</xdr:colOff>
      <xdr:row>9</xdr:row>
      <xdr:rowOff>39756</xdr:rowOff>
    </xdr:from>
    <xdr:to>
      <xdr:col>4</xdr:col>
      <xdr:colOff>383177</xdr:colOff>
      <xdr:row>12</xdr:row>
      <xdr:rowOff>164239</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BFEE8EA5-F557-46DF-B7C8-A54B0900F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470115</xdr:colOff>
      <xdr:row>10</xdr:row>
      <xdr:rowOff>113489</xdr:rowOff>
    </xdr:from>
    <xdr:to>
      <xdr:col>7</xdr:col>
      <xdr:colOff>291885</xdr:colOff>
      <xdr:row>12</xdr:row>
      <xdr:rowOff>166312</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1612D065-0F58-4646-8A76-C23059184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202209</xdr:colOff>
      <xdr:row>8</xdr:row>
      <xdr:rowOff>72886</xdr:rowOff>
    </xdr:from>
    <xdr:to>
      <xdr:col>10</xdr:col>
      <xdr:colOff>211873</xdr:colOff>
      <xdr:row>13</xdr:row>
      <xdr:rowOff>131378</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5A022C3A-DE8B-4CD0-AD16-4CE658041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571500</xdr:colOff>
          <xdr:row>13</xdr:row>
          <xdr:rowOff>53530</xdr:rowOff>
        </xdr:from>
        <xdr:to>
          <xdr:col>10</xdr:col>
          <xdr:colOff>297180</xdr:colOff>
          <xdr:row>16</xdr:row>
          <xdr:rowOff>134048</xdr:rowOff>
        </xdr:to>
        <xdr:pic>
          <xdr:nvPicPr>
            <xdr:cNvPr id="34" name="Picture 33">
              <a:extLst>
                <a:ext uri="{FF2B5EF4-FFF2-40B4-BE49-F238E27FC236}">
                  <a16:creationId xmlns:a16="http://schemas.microsoft.com/office/drawing/2014/main" id="{169BE8F3-3FF3-F4EF-EF6F-58A43BC06E73}"/>
                </a:ext>
              </a:extLst>
            </xdr:cNvPr>
            <xdr:cNvPicPr>
              <a:picLocks noChangeAspect="1" noChangeArrowheads="1"/>
              <a:extLst>
                <a:ext uri="{84589F7E-364E-4C9E-8A38-B11213B215E9}">
                  <a14:cameraTool cellRange="'Pivot Report'!$A$25:$D$27" spid="_x0000_s1053"/>
                </a:ext>
              </a:extLst>
            </xdr:cNvPicPr>
          </xdr:nvPicPr>
          <xdr:blipFill>
            <a:blip xmlns:r="http://schemas.openxmlformats.org/officeDocument/2006/relationships" r:embed="rId14"/>
            <a:srcRect/>
            <a:stretch>
              <a:fillRect/>
            </a:stretch>
          </xdr:blipFill>
          <xdr:spPr bwMode="auto">
            <a:xfrm>
              <a:off x="1181100" y="2465426"/>
              <a:ext cx="5212080" cy="637109"/>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597878</xdr:colOff>
      <xdr:row>15</xdr:row>
      <xdr:rowOff>117230</xdr:rowOff>
    </xdr:from>
    <xdr:to>
      <xdr:col>10</xdr:col>
      <xdr:colOff>181708</xdr:colOff>
      <xdr:row>26</xdr:row>
      <xdr:rowOff>150640</xdr:rowOff>
    </xdr:to>
    <xdr:graphicFrame macro="">
      <xdr:nvGraphicFramePr>
        <xdr:cNvPr id="36" name="Chart 35">
          <a:extLst>
            <a:ext uri="{FF2B5EF4-FFF2-40B4-BE49-F238E27FC236}">
              <a16:creationId xmlns:a16="http://schemas.microsoft.com/office/drawing/2014/main" id="{D5E3B5E9-5814-4552-B7B7-D65048387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403860</xdr:colOff>
      <xdr:row>25</xdr:row>
      <xdr:rowOff>57150</xdr:rowOff>
    </xdr:from>
    <xdr:to>
      <xdr:col>7</xdr:col>
      <xdr:colOff>312420</xdr:colOff>
      <xdr:row>27</xdr:row>
      <xdr:rowOff>68580</xdr:rowOff>
    </xdr:to>
    <xdr:sp macro="" textlink="">
      <xdr:nvSpPr>
        <xdr:cNvPr id="37" name="TextBox 36">
          <a:extLst>
            <a:ext uri="{FF2B5EF4-FFF2-40B4-BE49-F238E27FC236}">
              <a16:creationId xmlns:a16="http://schemas.microsoft.com/office/drawing/2014/main" id="{2C0CC47E-0D08-854A-7FE9-143315F7DB99}"/>
            </a:ext>
          </a:extLst>
        </xdr:cNvPr>
        <xdr:cNvSpPr txBox="1"/>
      </xdr:nvSpPr>
      <xdr:spPr>
        <a:xfrm>
          <a:off x="2842260" y="462915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No.</a:t>
          </a:r>
          <a:r>
            <a:rPr lang="en-US" sz="1200" b="1" baseline="0">
              <a:latin typeface="+mj-lt"/>
            </a:rPr>
            <a:t> of Pateint by Age Group</a:t>
          </a:r>
          <a:endParaRPr lang="en-US" sz="1200" b="1">
            <a:latin typeface="+mj-lt"/>
          </a:endParaRPr>
        </a:p>
      </xdr:txBody>
    </xdr:sp>
    <xdr:clientData/>
  </xdr:twoCellAnchor>
  <xdr:twoCellAnchor>
    <xdr:from>
      <xdr:col>10</xdr:col>
      <xdr:colOff>186079</xdr:colOff>
      <xdr:row>0</xdr:row>
      <xdr:rowOff>136635</xdr:rowOff>
    </xdr:from>
    <xdr:to>
      <xdr:col>13</xdr:col>
      <xdr:colOff>423196</xdr:colOff>
      <xdr:row>11</xdr:row>
      <xdr:rowOff>183314</xdr:rowOff>
    </xdr:to>
    <xdr:graphicFrame macro="">
      <xdr:nvGraphicFramePr>
        <xdr:cNvPr id="38" name="Chart 37">
          <a:extLst>
            <a:ext uri="{FF2B5EF4-FFF2-40B4-BE49-F238E27FC236}">
              <a16:creationId xmlns:a16="http://schemas.microsoft.com/office/drawing/2014/main" id="{ED485884-701C-47BD-A7DC-82B511D76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335280</xdr:colOff>
      <xdr:row>11</xdr:row>
      <xdr:rowOff>19050</xdr:rowOff>
    </xdr:from>
    <xdr:to>
      <xdr:col>13</xdr:col>
      <xdr:colOff>243840</xdr:colOff>
      <xdr:row>13</xdr:row>
      <xdr:rowOff>30480</xdr:rowOff>
    </xdr:to>
    <xdr:sp macro="" textlink="">
      <xdr:nvSpPr>
        <xdr:cNvPr id="40" name="TextBox 39">
          <a:extLst>
            <a:ext uri="{FF2B5EF4-FFF2-40B4-BE49-F238E27FC236}">
              <a16:creationId xmlns:a16="http://schemas.microsoft.com/office/drawing/2014/main" id="{7587A7F1-D224-4E08-9FC9-0C7179AC2A69}"/>
            </a:ext>
          </a:extLst>
        </xdr:cNvPr>
        <xdr:cNvSpPr txBox="1"/>
      </xdr:nvSpPr>
      <xdr:spPr>
        <a:xfrm>
          <a:off x="6431280" y="203073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Patient</a:t>
          </a:r>
          <a:r>
            <a:rPr lang="en-US" sz="1200" b="1" baseline="0">
              <a:latin typeface="+mj-lt"/>
            </a:rPr>
            <a:t> Attend Status</a:t>
          </a:r>
          <a:endParaRPr lang="en-US" sz="1200" b="1">
            <a:latin typeface="+mj-lt"/>
          </a:endParaRPr>
        </a:p>
      </xdr:txBody>
    </xdr:sp>
    <xdr:clientData/>
  </xdr:twoCellAnchor>
  <xdr:twoCellAnchor>
    <xdr:from>
      <xdr:col>13</xdr:col>
      <xdr:colOff>464820</xdr:colOff>
      <xdr:row>0</xdr:row>
      <xdr:rowOff>144780</xdr:rowOff>
    </xdr:from>
    <xdr:to>
      <xdr:col>18</xdr:col>
      <xdr:colOff>495300</xdr:colOff>
      <xdr:row>15</xdr:row>
      <xdr:rowOff>144780</xdr:rowOff>
    </xdr:to>
    <xdr:graphicFrame macro="">
      <xdr:nvGraphicFramePr>
        <xdr:cNvPr id="42" name="Chart 41">
          <a:extLst>
            <a:ext uri="{FF2B5EF4-FFF2-40B4-BE49-F238E27FC236}">
              <a16:creationId xmlns:a16="http://schemas.microsoft.com/office/drawing/2014/main" id="{A91024DB-0342-4A06-A970-7DE330E1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502920</xdr:colOff>
      <xdr:row>11</xdr:row>
      <xdr:rowOff>19050</xdr:rowOff>
    </xdr:from>
    <xdr:to>
      <xdr:col>16</xdr:col>
      <xdr:colOff>411480</xdr:colOff>
      <xdr:row>13</xdr:row>
      <xdr:rowOff>30480</xdr:rowOff>
    </xdr:to>
    <xdr:sp macro="" textlink="">
      <xdr:nvSpPr>
        <xdr:cNvPr id="43" name="TextBox 42">
          <a:extLst>
            <a:ext uri="{FF2B5EF4-FFF2-40B4-BE49-F238E27FC236}">
              <a16:creationId xmlns:a16="http://schemas.microsoft.com/office/drawing/2014/main" id="{212F2494-0C99-15DD-04D8-5AA7FE3D5F92}"/>
            </a:ext>
          </a:extLst>
        </xdr:cNvPr>
        <xdr:cNvSpPr txBox="1"/>
      </xdr:nvSpPr>
      <xdr:spPr>
        <a:xfrm>
          <a:off x="8427720" y="203073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Gender</a:t>
          </a:r>
          <a:r>
            <a:rPr lang="en-US" sz="1200" b="1" baseline="0">
              <a:latin typeface="+mj-lt"/>
            </a:rPr>
            <a:t> Wise Anlysis</a:t>
          </a:r>
          <a:endParaRPr lang="en-US" sz="1200" b="1">
            <a:latin typeface="+mj-lt"/>
          </a:endParaRPr>
        </a:p>
      </xdr:txBody>
    </xdr:sp>
    <xdr:clientData/>
  </xdr:twoCellAnchor>
  <xdr:twoCellAnchor editAs="absolute">
    <xdr:from>
      <xdr:col>10</xdr:col>
      <xdr:colOff>388620</xdr:colOff>
      <xdr:row>12</xdr:row>
      <xdr:rowOff>53340</xdr:rowOff>
    </xdr:from>
    <xdr:to>
      <xdr:col>17</xdr:col>
      <xdr:colOff>0</xdr:colOff>
      <xdr:row>25</xdr:row>
      <xdr:rowOff>99060</xdr:rowOff>
    </xdr:to>
    <xdr:graphicFrame macro="">
      <xdr:nvGraphicFramePr>
        <xdr:cNvPr id="44" name="Chart 43">
          <a:extLst>
            <a:ext uri="{FF2B5EF4-FFF2-40B4-BE49-F238E27FC236}">
              <a16:creationId xmlns:a16="http://schemas.microsoft.com/office/drawing/2014/main" id="{D910527B-72B2-4AC5-A04A-2B6CC45A1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441960</xdr:colOff>
      <xdr:row>24</xdr:row>
      <xdr:rowOff>163830</xdr:rowOff>
    </xdr:from>
    <xdr:to>
      <xdr:col>15</xdr:col>
      <xdr:colOff>495300</xdr:colOff>
      <xdr:row>26</xdr:row>
      <xdr:rowOff>175260</xdr:rowOff>
    </xdr:to>
    <xdr:sp macro="" textlink="">
      <xdr:nvSpPr>
        <xdr:cNvPr id="45" name="TextBox 44">
          <a:extLst>
            <a:ext uri="{FF2B5EF4-FFF2-40B4-BE49-F238E27FC236}">
              <a16:creationId xmlns:a16="http://schemas.microsoft.com/office/drawing/2014/main" id="{4184284F-D575-5913-B55F-37EF84806FC1}"/>
            </a:ext>
          </a:extLst>
        </xdr:cNvPr>
        <xdr:cNvSpPr txBox="1"/>
      </xdr:nvSpPr>
      <xdr:spPr>
        <a:xfrm>
          <a:off x="7147560" y="4552950"/>
          <a:ext cx="249174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No. fo Patient Department Referal</a:t>
          </a:r>
        </a:p>
      </xdr:txBody>
    </xdr:sp>
    <xdr:clientData/>
  </xdr:twoCellAnchor>
  <xdr:twoCellAnchor editAs="oneCell">
    <xdr:from>
      <xdr:col>7</xdr:col>
      <xdr:colOff>336463</xdr:colOff>
      <xdr:row>2</xdr:row>
      <xdr:rowOff>11927</xdr:rowOff>
    </xdr:from>
    <xdr:to>
      <xdr:col>10</xdr:col>
      <xdr:colOff>11264</xdr:colOff>
      <xdr:row>4</xdr:row>
      <xdr:rowOff>104693</xdr:rowOff>
    </xdr:to>
    <mc:AlternateContent xmlns:mc="http://schemas.openxmlformats.org/markup-compatibility/2006" xmlns:a14="http://schemas.microsoft.com/office/drawing/2010/main">
      <mc:Choice Requires="a14">
        <xdr:graphicFrame macro="">
          <xdr:nvGraphicFramePr>
            <xdr:cNvPr id="46" name="Column1 (Year)">
              <a:extLst>
                <a:ext uri="{FF2B5EF4-FFF2-40B4-BE49-F238E27FC236}">
                  <a16:creationId xmlns:a16="http://schemas.microsoft.com/office/drawing/2014/main" id="{3379BC8C-7C5A-4FE9-A20D-62E0C5972CFD}"/>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4603663" y="377687"/>
              <a:ext cx="1503601" cy="458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205740</xdr:colOff>
      <xdr:row>0</xdr:row>
      <xdr:rowOff>171450</xdr:rowOff>
    </xdr:from>
    <xdr:to>
      <xdr:col>10</xdr:col>
      <xdr:colOff>114300</xdr:colOff>
      <xdr:row>3</xdr:row>
      <xdr:rowOff>0</xdr:rowOff>
    </xdr:to>
    <xdr:sp macro="" textlink="">
      <xdr:nvSpPr>
        <xdr:cNvPr id="47" name="TextBox 46">
          <a:extLst>
            <a:ext uri="{FF2B5EF4-FFF2-40B4-BE49-F238E27FC236}">
              <a16:creationId xmlns:a16="http://schemas.microsoft.com/office/drawing/2014/main" id="{2D922E74-9FDB-12FE-2D72-E490243E35A8}"/>
            </a:ext>
          </a:extLst>
        </xdr:cNvPr>
        <xdr:cNvSpPr txBox="1"/>
      </xdr:nvSpPr>
      <xdr:spPr>
        <a:xfrm>
          <a:off x="4472940" y="171450"/>
          <a:ext cx="173736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mj-lt"/>
            </a:rPr>
            <a:t>Select</a:t>
          </a:r>
          <a:r>
            <a:rPr lang="en-US" sz="1200" b="1" baseline="0">
              <a:latin typeface="+mj-lt"/>
            </a:rPr>
            <a:t> Year</a:t>
          </a:r>
          <a:endParaRPr lang="en-US" sz="12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259080</xdr:colOff>
      <xdr:row>0</xdr:row>
      <xdr:rowOff>152400</xdr:rowOff>
    </xdr:from>
    <xdr:to>
      <xdr:col>22</xdr:col>
      <xdr:colOff>388620</xdr:colOff>
      <xdr:row>22</xdr:row>
      <xdr:rowOff>144780</xdr:rowOff>
    </xdr:to>
    <xdr:graphicFrame macro="">
      <xdr:nvGraphicFramePr>
        <xdr:cNvPr id="2" name="Chart 1">
          <a:extLst>
            <a:ext uri="{FF2B5EF4-FFF2-40B4-BE49-F238E27FC236}">
              <a16:creationId xmlns:a16="http://schemas.microsoft.com/office/drawing/2014/main" id="{81380853-1AFF-495A-A365-C32B158D2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449580</xdr:colOff>
      <xdr:row>0</xdr:row>
      <xdr:rowOff>152400</xdr:rowOff>
    </xdr:from>
    <xdr:to>
      <xdr:col>1</xdr:col>
      <xdr:colOff>434340</xdr:colOff>
      <xdr:row>4</xdr:row>
      <xdr:rowOff>15240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183342E-394A-BBDC-7D1A-923086132F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9580" y="152400"/>
          <a:ext cx="594360" cy="594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1</xdr:row>
      <xdr:rowOff>106680</xdr:rowOff>
    </xdr:from>
    <xdr:to>
      <xdr:col>23</xdr:col>
      <xdr:colOff>99060</xdr:colOff>
      <xdr:row>22</xdr:row>
      <xdr:rowOff>137160</xdr:rowOff>
    </xdr:to>
    <xdr:graphicFrame macro="">
      <xdr:nvGraphicFramePr>
        <xdr:cNvPr id="2" name="Chart 1">
          <a:extLst>
            <a:ext uri="{FF2B5EF4-FFF2-40B4-BE49-F238E27FC236}">
              <a16:creationId xmlns:a16="http://schemas.microsoft.com/office/drawing/2014/main" id="{0A588BE6-2826-41EE-BECB-5492FF6D4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1</xdr:row>
      <xdr:rowOff>121920</xdr:rowOff>
    </xdr:from>
    <xdr:to>
      <xdr:col>1</xdr:col>
      <xdr:colOff>289560</xdr:colOff>
      <xdr:row>4</xdr:row>
      <xdr:rowOff>167640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1B7E5C9C-7B56-469D-A218-ABAA52383E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0" y="304800"/>
          <a:ext cx="594360" cy="594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2</xdr:row>
      <xdr:rowOff>175260</xdr:rowOff>
    </xdr:from>
    <xdr:to>
      <xdr:col>22</xdr:col>
      <xdr:colOff>518160</xdr:colOff>
      <xdr:row>24</xdr:row>
      <xdr:rowOff>7620</xdr:rowOff>
    </xdr:to>
    <xdr:graphicFrame macro="">
      <xdr:nvGraphicFramePr>
        <xdr:cNvPr id="4" name="Chart 3">
          <a:extLst>
            <a:ext uri="{FF2B5EF4-FFF2-40B4-BE49-F238E27FC236}">
              <a16:creationId xmlns:a16="http://schemas.microsoft.com/office/drawing/2014/main" id="{6EACF94D-30D6-4821-A044-66FC4CFF7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3</xdr:row>
      <xdr:rowOff>53340</xdr:rowOff>
    </xdr:from>
    <xdr:to>
      <xdr:col>1</xdr:col>
      <xdr:colOff>152400</xdr:colOff>
      <xdr:row>6</xdr:row>
      <xdr:rowOff>99060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8A1D1933-3FB1-4486-A64E-C27C32DF12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601980"/>
          <a:ext cx="594360" cy="5943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2.712698148149" createdVersion="5" refreshedVersion="8" minRefreshableVersion="3" recordCount="0" supportSubquery="1" supportAdvancedDrill="1" xr:uid="{99870DE3-1CA8-4A40-801C-A3248DCFF4AE}">
  <cacheSource type="external" connectionId="3"/>
  <cacheFields count="4">
    <cacheField name="[Celender_Table].[Column1].[Column1]" caption="Column1"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elender_Table].[Month].[Month]" caption="Month" numFmtId="0" hierarchy="1" level="1">
      <sharedItems count="12">
        <s v="Jan"/>
        <s v="Feb"/>
        <s v="Mar"/>
        <s v="Apr"/>
        <s v="May"/>
        <s v="Jun"/>
        <s v="Jul"/>
        <s v="Aug"/>
        <s v="Sep"/>
        <s v="Oct"/>
        <s v="Nov"/>
        <s v="Dec"/>
      </sharedItems>
    </cacheField>
    <cacheField name="[Celender_Table].[Column1 (Quarter)].[Column1 (Quarter)]" caption="Column1 (Quarter)" numFmtId="0" hierarchy="4" level="1">
      <sharedItems count="4">
        <s v="Qtr1"/>
        <s v="Qtr2"/>
        <s v="Qtr3"/>
        <s v="Qtr4"/>
      </sharedItems>
    </cacheField>
    <cacheField name="[Celender_Table].[Column1 (Year)].[Column1 (Year)]" caption="Column1 (Year)" numFmtId="0" hierarchy="3" level="1">
      <sharedItems count="1">
        <s v="2023"/>
      </sharedItems>
    </cacheField>
  </cacheFields>
  <cacheHierarchies count="37">
    <cacheHierarchy uniqueName="[Celender_Table].[Column1]" caption="Column1" attribute="1" time="1" defaultMemberUniqueName="[Celender_Table].[Column1].[All]" allUniqueName="[Celender_Table].[Column1].[All]" dimensionUniqueName="[Celender_Table]" displayFolder="" count="2" memberValueDatatype="7" unbalanced="0">
      <fieldsUsage count="2">
        <fieldUsage x="-1"/>
        <fieldUsage x="0"/>
      </fieldsUsage>
    </cacheHierarchy>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2"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3"/>
      </fieldsUsage>
    </cacheHierarchy>
    <cacheHierarchy uniqueName="[Celender_Table].[Column1 (Quarter)]" caption="Column1 (Quarter)" attribute="1" defaultMemberUniqueName="[Celender_Table].[Column1 (Quarter)].[All]" allUniqueName="[Celender_Table].[Column1 (Quarter)].[All]" dimensionUniqueName="[Ce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2"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2384256" createdVersion="5" refreshedVersion="8" minRefreshableVersion="3" recordCount="0" supportSubquery="1" supportAdvancedDrill="1" xr:uid="{32EEF628-0117-42C4-9C90-CCFAF174DD0E}">
  <cacheSource type="external" connectionId="3"/>
  <cacheFields count="4">
    <cacheField name="[Measures].[Count of Patient Id]" caption="Count of Patient Id" numFmtId="0" hierarchy="23" level="32767"/>
    <cacheField name="[Celender_Table].[Day].[Day]" caption="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elender_Table].[Month].[Month]" caption="Month" numFmtId="0" hierarchy="1" level="1">
      <sharedItems containsSemiMixedTypes="0" containsNonDate="0" containsString="0"/>
    </cacheField>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2"/>
      </fieldsUsage>
    </cacheHierarchy>
    <cacheHierarchy uniqueName="[Celender_Table].[Day]" caption="Day" attribute="1" defaultMemberUniqueName="[Celender_Table].[Day].[All]" allUniqueName="[Celender_Table].[Day].[All]" dimensionUniqueName="[Celender_Table]" displayFolder="" count="2" memberValueDatatype="130" unbalanced="0">
      <fieldsUsage count="2">
        <fieldUsage x="-1"/>
        <fieldUsage x="1"/>
      </fieldsUsage>
    </cacheHierarchy>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3"/>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365741" createdVersion="5" refreshedVersion="8" minRefreshableVersion="3" recordCount="0" supportSubquery="1" supportAdvancedDrill="1" xr:uid="{B3E95F40-0C7B-42FA-B862-8643B5B376B7}">
  <cacheSource type="external" connectionId="3"/>
  <cacheFields count="3">
    <cacheField name="[Measures].[Distinct Count of Patient Id]" caption="Distinct Count of Patient Id" numFmtId="0" hierarchy="24" level="32767"/>
    <cacheField name="[Celender_Table].[Month].[Month]" caption="Month" numFmtId="0" hierarchy="1" level="1">
      <sharedItems containsSemiMixedTypes="0" containsNonDate="0" containsString="0"/>
    </cacheField>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3888887" createdVersion="5" refreshedVersion="8" minRefreshableVersion="3" recordCount="0" supportSubquery="1" supportAdvancedDrill="1" xr:uid="{E05170EE-69BC-42CC-8B37-05333E5C1ED1}">
  <cacheSource type="external" connectionId="3"/>
  <cacheFields count="3">
    <cacheField name="[Measures].[Average of Patient Waittime]" caption="Average of Patient Waittime" numFmtId="0" hierarchy="27" level="32767"/>
    <cacheField name="[Celender_Table].[Month].[Month]" caption="Month" numFmtId="0" hierarchy="1" level="1">
      <sharedItems containsSemiMixedTypes="0" containsNonDate="0" containsString="0"/>
    </cacheField>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4236111" createdVersion="5" refreshedVersion="8" minRefreshableVersion="3" recordCount="0" supportSubquery="1" supportAdvancedDrill="1" xr:uid="{429BDBA7-22F9-4A75-B73E-7DB1B51E44A6}">
  <cacheSource type="external" connectionId="3"/>
  <cacheFields count="3">
    <cacheField name="[Measures].[Average of Patient Satisfaction Score]" caption="Average of Patient Satisfaction Score" numFmtId="0" hierarchy="29" level="32767"/>
    <cacheField name="[Celender_Table].[Month].[Month]" caption="Month" numFmtId="0" hierarchy="1" level="1">
      <sharedItems containsSemiMixedTypes="0" containsNonDate="0" containsString="0"/>
    </cacheField>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4699073" createdVersion="5" refreshedVersion="8" minRefreshableVersion="3" recordCount="0" supportSubquery="1" supportAdvancedDrill="1" xr:uid="{BA312A9F-25FA-450D-88A6-38966F023AFB}">
  <cacheSource type="external" connectionId="3"/>
  <cacheFields count="4">
    <cacheField name="[Celender_Table].[Day].[Day]" caption="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Jan" u="1"/>
      </sharedItems>
    </cacheField>
    <cacheField name="[Celender_Table].[Month].[Month]" caption="Month" numFmtId="0" hierarchy="1" level="1">
      <sharedItems containsSemiMixedTypes="0" containsNonDate="0" containsString="0"/>
    </cacheField>
    <cacheField name="[Measures].[Average of Patient Waittime]" caption="Average of Patient Waittime" numFmtId="0" hierarchy="27" level="32767"/>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2" memberValueDatatype="130" unbalanced="0">
      <fieldsUsage count="2">
        <fieldUsage x="-1"/>
        <fieldUsage x="0"/>
      </fieldsUsage>
    </cacheHierarchy>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3"/>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6435182" createdVersion="5" refreshedVersion="8" minRefreshableVersion="3" recordCount="0" supportSubquery="1" supportAdvancedDrill="1" xr:uid="{F4EF57AD-7879-4F30-BF33-B2637B3D5618}">
  <cacheSource type="external" connectionId="3"/>
  <cacheFields count="4">
    <cacheField name="[Celender_Table].[Day].[Day]" caption="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Jan" u="1"/>
      </sharedItems>
    </cacheField>
    <cacheField name="[Celender_Table].[Month].[Month]" caption="Month" numFmtId="0" hierarchy="1" level="1">
      <sharedItems containsSemiMixedTypes="0" containsNonDate="0" containsString="0"/>
    </cacheField>
    <cacheField name="[Measures].[Average of Patient Satisfaction Score]" caption="Average of Patient Satisfaction Score" numFmtId="0" hierarchy="29" level="32767"/>
    <cacheField name="[Celender_Table].[Column1 (Year)].[Column1 (Year)]" caption="Column1 (Year)" numFmtId="0" hierarchy="3"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1"/>
      </fieldsUsage>
    </cacheHierarchy>
    <cacheHierarchy uniqueName="[Celender_Table].[Day]" caption="Day" attribute="1" defaultMemberUniqueName="[Celender_Table].[Day].[All]" allUniqueName="[Celender_Table].[Day].[All]" dimensionUniqueName="[Celender_Table]" displayFolder="" count="2" memberValueDatatype="130" unbalanced="0">
      <fieldsUsage count="2">
        <fieldUsage x="-1"/>
        <fieldUsage x="0"/>
      </fieldsUsage>
    </cacheHierarchy>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3"/>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7824075" createdVersion="5" refreshedVersion="8" minRefreshableVersion="3" recordCount="0" supportSubquery="1" supportAdvancedDrill="1" xr:uid="{B8780291-ED21-48F4-A0C1-87D6CA1C4762}">
  <cacheSource type="external" connectionId="3"/>
  <cacheFields count="5">
    <cacheField name="[Celender_Table].[Month].[Month]" caption="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elender_Table].[Column1 (Year)].[Column1 (Year)]" caption="Column1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0"/>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3"/>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8287036" createdVersion="5" refreshedVersion="8" minRefreshableVersion="3" recordCount="0" supportSubquery="1" supportAdvancedDrill="1" xr:uid="{47306A4B-932F-4CF7-A609-E95B4F7D9699}">
  <cacheSource type="external" connectionId="3"/>
  <cacheFields count="4">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elender_Table].[Column1 (Year)].[Column1 (Year)]" caption="Column1 (Year)" numFmtId="0" hierarchy="3" level="1">
      <sharedItems containsSemiMixedTypes="0" containsNonDate="0" containsString="0"/>
    </cacheField>
    <cacheField name="[Celender_Table].[Month].[Month]" caption="Month" numFmtId="0" hierarchy="1"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3"/>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19675929" createdVersion="5" refreshedVersion="8" minRefreshableVersion="3" recordCount="0" supportSubquery="1" supportAdvancedDrill="1" xr:uid="{FB6C29C2-8055-46D5-AA97-995BB92BD95D}">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elender_Table].[Column1 (Year)].[Column1 (Year)]" caption="Column1 (Year)" numFmtId="0" hierarchy="3" level="1">
      <sharedItems containsSemiMixedTypes="0" containsNonDate="0" containsString="0"/>
    </cacheField>
    <cacheField name="[Celender_Table].[Month].[Month]" caption="Month" numFmtId="0" hierarchy="1"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3"/>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212963" createdVersion="5" refreshedVersion="8" minRefreshableVersion="3" recordCount="0" supportSubquery="1" supportAdvancedDrill="1" xr:uid="{F7303BEC-B0CE-42B2-B38F-79B39791EDD6}">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elender_Table].[Column1 (Year)].[Column1 (Year)]" caption="Column1 (Year)" numFmtId="0" hierarchy="3" level="1">
      <sharedItems containsSemiMixedTypes="0" containsNonDate="0" containsString="0"/>
    </cacheField>
    <cacheField name="[Celender_Table].[Month].[Month]" caption="Month" numFmtId="0" hierarchy="1"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3"/>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50372291667" createdVersion="5" refreshedVersion="8" minRefreshableVersion="3" recordCount="0" supportSubquery="1" supportAdvancedDrill="1" xr:uid="{E071DA9E-78FA-40E0-A6CA-22E2D8FD303F}">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elender_Table].[Column1 (Year)].[Column1 (Year)]" caption="Column1 (Year)" numFmtId="0" hierarchy="3" level="1">
      <sharedItems containsSemiMixedTypes="0" containsNonDate="0" containsString="0"/>
    </cacheField>
    <cacheField name="[Celender_Table].[Month].[Month]" caption="Month" numFmtId="0" hierarchy="1" level="1">
      <sharedItems containsSemiMixedTypes="0" containsNonDate="0" containsString="0"/>
    </cacheField>
  </cacheFields>
  <cacheHierarchies count="37">
    <cacheHierarchy uniqueName="[Celender_Table].[Column1]" caption="Column1" attribute="1" time="1" defaultMemberUniqueName="[Celender_Table].[Column1].[All]" allUniqueName="[Celender_Table].[Column1].[All]" dimensionUniqueName="[Celender_Table]" displayFolder="" count="0" memberValueDatatype="7" unbalanced="0"/>
    <cacheHierarchy uniqueName="[Celender_Table].[Month]" caption="Month" attribute="1" defaultMemberUniqueName="[Celender_Table].[Month].[All]" allUniqueName="[Celender_Table].[Month].[All]" dimensionUniqueName="[Celender_Table]" displayFolder="" count="2" memberValueDatatype="130" unbalanced="0">
      <fieldsUsage count="2">
        <fieldUsage x="-1"/>
        <fieldUsage x="3"/>
      </fieldsUsage>
    </cacheHierarchy>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fieldsUsage count="2">
        <fieldUsage x="-1"/>
        <fieldUsage x="2"/>
      </fieldsUsage>
    </cacheHierarchy>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elender_Table" uniqueName="[Celender_Table]" caption="Celender_Table"/>
    <dimension name="Hospital Emergency Room Data" uniqueName="[Hospital Emergency Room Data]" caption="Hospital Emergency Room Data"/>
    <dimension measure="1" name="Measures" uniqueName="[Measures]" caption="Measures"/>
  </dimensions>
  <measureGroups count="2">
    <measureGroup name="Celender_Table" caption="Ce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2.705812037035" createdVersion="3" refreshedVersion="8" minRefreshableVersion="3" recordCount="0" supportSubquery="1" supportAdvancedDrill="1" xr:uid="{2647EE24-86F1-494B-A7BF-EFA7A30D33E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elender_Table].[Column1]" caption="Column1" attribute="1" time="1" defaultMemberUniqueName="[Celender_Table].[Column1].[All]" allUniqueName="[Celender_Table].[Column1].[All]" dimensionUniqueName="[Celender_Table]" displayFolder="" count="2" memberValueDatatype="7" unbalanced="0"/>
    <cacheHierarchy uniqueName="[Celender_Table].[Month]" caption="Month" attribute="1" defaultMemberUniqueName="[Celender_Table].[Month].[All]" allUniqueName="[Celender_Table].[Month].[All]" dimensionUniqueName="[Celender_Table]" displayFolder="" count="2" memberValueDatatype="130" unbalanced="0"/>
    <cacheHierarchy uniqueName="[Celender_Table].[Day]" caption="Day" attribute="1" defaultMemberUniqueName="[Celender_Table].[Day].[All]" allUniqueName="[Celender_Table].[Day].[All]" dimensionUniqueName="[Celender_Table]" displayFolder="" count="0" memberValueDatatype="130" unbalanced="0"/>
    <cacheHierarchy uniqueName="[Celender_Table].[Column1 (Year)]" caption="Column1 (Year)" attribute="1" defaultMemberUniqueName="[Celender_Table].[Column1 (Year)].[All]" allUniqueName="[Celender_Table].[Column1 (Year)].[All]" dimensionUniqueName="[Celender_Table]" displayFolder="" count="2" memberValueDatatype="130" unbalanced="0"/>
    <cacheHierarchy uniqueName="[Celender_Table].[Column1 (Quarter)]" caption="Column1 (Quarter)" attribute="1" defaultMemberUniqueName="[Celender_Table].[Column1 (Quarter)].[All]" allUniqueName="[Celender_Table].[Column1 (Quarter)].[All]" dimensionUniqueName="[Ce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elender_Table].[Column1 (Day Index)]" caption="Column1 (Day Index)" attribute="1" defaultMemberUniqueName="[Celender_Table].[Column1 (Day Index)].[All]" allUniqueName="[Celender_Table].[Column1 (Day Index)].[All]" dimensionUniqueName="[Celender_Table]" displayFolder="" count="0" memberValueDatatype="5" unbalanced="0" hidden="1"/>
    <cacheHierarchy uniqueName="[Celender_Table].[Column1 (Month Index)]" caption="Column1 (Month Index)" attribute="1" defaultMemberUniqueName="[Celender_Table].[Column1 (Month Index)].[All]" allUniqueName="[Celender_Table].[Column1 (Month Index)].[All]" dimensionUniqueName="[Ce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elender_Table]" caption="__XL_Count Celender_Table" measure="1" displayFolder="" measureGroup="Ce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205136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228E1-51BC-46C6-BAA7-CA413C6939BD}" name="PivotTable7" cacheId="93" applyNumberFormats="0" applyBorderFormats="0" applyFontFormats="0" applyPatternFormats="0" applyAlignmentFormats="0" applyWidthHeightFormats="1" dataCaption="Values" tag="966414bc-94e7-4305-844a-dca7f8d3553c" updatedVersion="8" minRefreshableVersion="3" useAutoFormatting="1" subtotalHiddenItems="1" itemPrintTitles="1" createdVersion="5" indent="0" outline="1" outlineData="1" multipleFieldFilters="0" chartFormat="22">
  <location ref="I3:J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7">
    <format dxfId="75">
      <pivotArea outline="0" collapsedLevelsAreSubtotals="1" fieldPosition="0"/>
    </format>
    <format dxfId="74">
      <pivotArea dataOnly="0" labelOnly="1" fieldPosition="0">
        <references count="1">
          <reference field="0" count="0"/>
        </references>
      </pivotArea>
    </format>
    <format dxfId="73">
      <pivotArea dataOnly="0" labelOnly="1" grandRow="1" outline="0" fieldPosition="0"/>
    </format>
    <format dxfId="72">
      <pivotArea field="0" type="button" dataOnly="0" labelOnly="1" outline="0" axis="axisRow" fieldPosition="0"/>
    </format>
    <format dxfId="71">
      <pivotArea dataOnly="0" labelOnly="1" outline="0" axis="axisValues" fieldPosition="0"/>
    </format>
    <format dxfId="70">
      <pivotArea collapsedLevelsAreSubtotals="1" fieldPosition="0">
        <references count="1">
          <reference field="0" count="1">
            <x v="30"/>
          </reference>
        </references>
      </pivotArea>
    </format>
    <format dxfId="69">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elender_Table].[Month].&amp;[Jun]"/>
      </members>
    </pivotHierarchy>
    <pivotHierarchy multipleItemSelectionAllowed="1"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02D1CB-1946-48CB-A8A1-56E2EEB7A2CA}" name="PivotTable6" cacheId="81" applyNumberFormats="0" applyBorderFormats="0" applyFontFormats="0" applyPatternFormats="0" applyAlignmentFormats="0" applyWidthHeightFormats="1" dataCaption="Values" tag="6e3a4be6-c8d3-47b6-ba48-1739ac16ea8d" updatedVersion="8" minRefreshableVersion="3" useAutoFormatting="1" subtotalHiddenItems="1" itemPrintTitles="1" createdVersion="5" indent="0" outline="1" outlineData="1" multipleFieldFilters="0" chartFormat="13">
  <location ref="E3:F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formats count="5">
    <format dxfId="80">
      <pivotArea outline="0" collapsedLevelsAreSubtotals="1" fieldPosition="0"/>
    </format>
    <format dxfId="79">
      <pivotArea dataOnly="0" labelOnly="1" fieldPosition="0">
        <references count="1">
          <reference field="1" count="0"/>
        </references>
      </pivotArea>
    </format>
    <format dxfId="78">
      <pivotArea dataOnly="0" labelOnly="1" grandRow="1" outline="0" fieldPosition="0"/>
    </format>
    <format dxfId="77">
      <pivotArea field="1" type="button" dataOnly="0" labelOnly="1" outline="0" axis="axisRow" fieldPosition="0"/>
    </format>
    <format dxfId="76">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elender_Table].[Month].&amp;[Jun]"/>
      </members>
    </pivotHierarchy>
    <pivotHierarchy multipleItemSelectionAllowed="1"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85339A-9620-47EE-935B-8417DE7A86B5}" name="PivotTable14" cacheId="108" applyNumberFormats="0" applyBorderFormats="0" applyFontFormats="0" applyPatternFormats="0" applyAlignmentFormats="0" applyWidthHeightFormats="1" dataCaption="Values" tag="c419d372-6c3c-4d29-a7c3-c270736f8eb7" updatedVersion="8" minRefreshableVersion="3" useAutoFormatting="1" itemPrintTitles="1" createdVersion="5" indent="0" outline="1" outlineData="1" multipleFieldFilters="0" chartFormat="9">
  <location ref="A45:B4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E3C22-77BF-4F6B-8AC3-A935A1F7EED6}" name="PivotTable1" cacheId="84" applyNumberFormats="0" applyBorderFormats="0" applyFontFormats="0" applyPatternFormats="0" applyAlignmentFormats="0" applyWidthHeightFormats="1" dataCaption="Values" tag="443329ee-7e88-49ab-9783-9c4632853073" updatedVersion="8" minRefreshableVersion="3" subtotalHiddenItems="1" itemPrintTitles="1" createdVersion="5"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A412D-801A-4483-AA75-48BD9EBFC995}" name="PivotTable13" cacheId="102" applyNumberFormats="0" applyBorderFormats="0" applyFontFormats="0" applyPatternFormats="0" applyAlignmentFormats="0" applyWidthHeightFormats="1" dataCaption="Values" tag="4d38282b-3802-4af7-9d3f-6d2c28ecb359" updatedVersion="8" minRefreshableVersion="3" useAutoFormatting="1" itemPrintTitles="1" createdVersion="5" indent="0" outline="1" outlineData="1" multipleFieldFilters="0" chartFormat="4">
  <location ref="A31:B40"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B2141-F69C-437D-A762-D4025B148842}" name="PivotTable3" cacheId="90" applyNumberFormats="0" applyBorderFormats="0" applyFontFormats="0" applyPatternFormats="0" applyAlignmentFormats="0" applyWidthHeightFormats="1" dataCaption="Values" tag="bec55b55-e042-4f01-ba79-32190a805566" updatedVersion="8" minRefreshableVersion="3" subtotalHiddenItems="1" itemPrintTitles="1" createdVersion="5"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1">
      <pivotArea outline="0" collapsedLevelsAreSubtotals="1" fieldPosition="0"/>
    </format>
  </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D40C4E-4D7C-4946-B091-1BB12E3AE105}" name="PivotTable10" cacheId="99" applyNumberFormats="0" applyBorderFormats="0" applyFontFormats="0" applyPatternFormats="0" applyAlignmentFormats="0" applyWidthHeightFormats="1" dataCaption="Values" tag="cc3cf46c-0727-4952-a8c3-3a98d4ed8600" updatedVersion="8" minRefreshableVersion="3" subtotalHiddenItems="1" itemPrintTitles="1" createdVersion="5" indent="0" outline="1" outlineData="1" multipleFieldFilters="0" chartFormat="4">
  <location ref="B19:D2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3">
      <pivotArea outline="0" collapsedLevelsAreSubtotals="1" fieldPosition="0"/>
    </format>
    <format dxfId="8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8">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F4D0A0-BA5C-4EAD-A653-BE106547767B}" name="PivotTable17" cacheId="0" applyNumberFormats="0" applyBorderFormats="0" applyFontFormats="0" applyPatternFormats="0" applyAlignmentFormats="0" applyWidthHeightFormats="1" dataCaption="Values" tag="1d5ecbbd-71ee-48f3-a2eb-b3d98ed32695" updatedVersion="8" minRefreshableVersion="3" useAutoFormatting="1" itemPrintTitles="1" createdVersion="5" indent="0" outline="1" outlineData="1" multipleFieldFilters="0" chartFormat="19">
  <location ref="A68:A70"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273597-FF93-414B-869A-4983066C0F6E}" name="PivotTable16" cacheId="105" applyNumberFormats="0" applyBorderFormats="0" applyFontFormats="0" applyPatternFormats="0" applyAlignmentFormats="0" applyWidthHeightFormats="1" dataCaption="Values" tag="7638140d-548a-4e7a-9540-0b14fe99e56f" updatedVersion="8" minRefreshableVersion="3" useAutoFormatting="1" itemPrintTitles="1" createdVersion="5" indent="0" outline="1" outlineData="1" multipleFieldFilters="0" chartFormat="19">
  <location ref="A56:B65" firstHeaderRow="1" firstDataRow="1" firstDataCol="1"/>
  <pivotFields count="4">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1"/>
    </i>
    <i>
      <x/>
    </i>
    <i>
      <x v="3"/>
    </i>
    <i>
      <x v="6"/>
    </i>
    <i>
      <x v="5"/>
    </i>
    <i>
      <x v="2"/>
    </i>
    <i>
      <x v="4"/>
    </i>
    <i t="grand">
      <x/>
    </i>
  </rowItems>
  <colItems count="1">
    <i/>
  </colItems>
  <dataFields count="1">
    <dataField name="Count of Department Referral" fld="1"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E258B3-39D7-45E4-AB48-6DB69194E794}" name="PivotTable2" cacheId="87" applyNumberFormats="0" applyBorderFormats="0" applyFontFormats="0" applyPatternFormats="0" applyAlignmentFormats="0" applyWidthHeightFormats="1" dataCaption="Values" tag="77bc68ed-258a-4952-baeb-869831c57d8f" updatedVersion="8" minRefreshableVersion="3"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4">
      <pivotArea outline="0" collapsedLevelsAreSubtotals="1" fieldPosition="0"/>
    </format>
  </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31DB58-DE61-449D-AEC8-40BBDCBCE08C}" name="PivotTable8" cacheId="96" applyNumberFormats="0" applyBorderFormats="0" applyFontFormats="0" applyPatternFormats="0" applyAlignmentFormats="0" applyWidthHeightFormats="1" dataCaption="Values" tag="ce562dcb-6354-4b1b-82b0-a76ec0927f69" updatedVersion="8" minRefreshableVersion="3" useAutoFormatting="1" subtotalHiddenItems="1" itemPrintTitles="1" createdVersion="5" indent="0" outline="1" outlineData="1" multipleFieldFilters="0" chartFormat="30">
  <location ref="M3:N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7">
    <format dxfId="91">
      <pivotArea outline="0" collapsedLevelsAreSubtotals="1" fieldPosition="0"/>
    </format>
    <format dxfId="90">
      <pivotArea dataOnly="0" labelOnly="1" fieldPosition="0">
        <references count="1">
          <reference field="0" count="0"/>
        </references>
      </pivotArea>
    </format>
    <format dxfId="89">
      <pivotArea dataOnly="0" labelOnly="1" grandRow="1" outline="0" fieldPosition="0"/>
    </format>
    <format dxfId="88">
      <pivotArea field="0" type="button" dataOnly="0" labelOnly="1" outline="0" axis="axisRow" fieldPosition="0"/>
    </format>
    <format dxfId="87">
      <pivotArea dataOnly="0" labelOnly="1" outline="0" axis="axisValues" fieldPosition="0"/>
    </format>
    <format dxfId="86">
      <pivotArea collapsedLevelsAreSubtotals="1" fieldPosition="0">
        <references count="1">
          <reference field="0" count="1">
            <x v="30"/>
          </reference>
        </references>
      </pivotArea>
    </format>
    <format dxfId="85">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elender_Table].[Month].&amp;[Jun]"/>
      </members>
    </pivotHierarchy>
    <pivotHierarchy multipleItemSelectionAllowed="1"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e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43DEED-DAA7-4F19-AAD5-3661D479D924}" name="PivotTable15" cacheId="111" applyNumberFormats="0" applyBorderFormats="0" applyFontFormats="0" applyPatternFormats="0" applyAlignmentFormats="0" applyWidthHeightFormats="1" dataCaption="Values" tag="122a283c-ee61-496a-a7b5-cb891553408a" updatedVersion="8" minRefreshableVersion="3" useAutoFormatting="1" itemPrintTitles="1" createdVersion="5" indent="0" outline="1" outlineData="1" multipleFieldFilters="0" chartFormat="13">
  <location ref="A51:B5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members count="1" level="1">
        <member name="[Celender_Table].[Month].&amp;[Jun]"/>
      </members>
    </pivotHierarchy>
    <pivotHierarchy dragToData="1"/>
    <pivotHierarchy multipleItemSelectionAllowed="1" dragToData="1">
      <members count="1" level="1">
        <member name="[Ce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70764AB-84A2-4C51-90AD-92ED24742DF0}" sourceName="[Celender_Table].[Month]">
  <pivotTables>
    <pivotTable tabId="1" name="PivotTable6"/>
    <pivotTable tabId="1" name="PivotTable1"/>
    <pivotTable tabId="1" name="PivotTable2"/>
    <pivotTable tabId="1" name="PivotTable3"/>
    <pivotTable tabId="1" name="PivotTable7"/>
    <pivotTable tabId="1" name="PivotTable8"/>
    <pivotTable tabId="1" name="PivotTable10"/>
    <pivotTable tabId="1" name="PivotTable13"/>
    <pivotTable tabId="1" name="PivotTable16"/>
    <pivotTable tabId="1" name="PivotTable14"/>
    <pivotTable tabId="1" name="PivotTable15"/>
  </pivotTables>
  <data>
    <olap pivotCacheId="2120513673">
      <levels count="2">
        <level uniqueName="[Celender_Table].[Month].[(All)]" sourceCaption="(All)" count="0"/>
        <level uniqueName="[Celender_Table].[Month].[Month]" sourceCaption="Month" count="12">
          <ranges>
            <range startItem="0">
              <i n="[Celender_Table].[Month].&amp;[Apr]" c="Apr"/>
              <i n="[Celender_Table].[Month].&amp;[May]" c="May"/>
              <i n="[Celender_Table].[Month].&amp;[Jun]" c="Jun"/>
              <i n="[Celender_Table].[Month].&amp;[Jul]" c="Jul"/>
              <i n="[Celender_Table].[Month].&amp;[Aug]" c="Aug"/>
              <i n="[Celender_Table].[Month].&amp;[Sep]" c="Sep"/>
              <i n="[Celender_Table].[Month].&amp;[Oct]" c="Oct"/>
              <i n="[Celender_Table].[Month].&amp;[Nov]" c="Nov"/>
              <i n="[Celender_Table].[Month].&amp;[Dec]" c="Dec"/>
              <i n="[Celender_Table].[Month].&amp;[Jan]" c="Jan" nd="1"/>
              <i n="[Celender_Table].[Month].&amp;[Feb]" c="Feb" nd="1"/>
              <i n="[Celender_Table].[Month].&amp;[Mar]" c="Mar" nd="1"/>
            </range>
          </ranges>
        </level>
      </levels>
      <selections count="1">
        <selection n="[Celender_Table].[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1A6994B5-C7E2-433C-9274-21BF7A8A05C9}" sourceName="[Celender_Table].[Column1 (Year)]">
  <pivotTables>
    <pivotTable tabId="1" name="PivotTable17"/>
    <pivotTable tabId="1" name="PivotTable1"/>
    <pivotTable tabId="1" name="PivotTable10"/>
    <pivotTable tabId="1" name="PivotTable13"/>
    <pivotTable tabId="1" name="PivotTable14"/>
    <pivotTable tabId="1" name="PivotTable15"/>
    <pivotTable tabId="1" name="PivotTable16"/>
    <pivotTable tabId="1" name="PivotTable2"/>
    <pivotTable tabId="1" name="PivotTable3"/>
    <pivotTable tabId="1" name="PivotTable6"/>
    <pivotTable tabId="1" name="PivotTable7"/>
    <pivotTable tabId="1" name="PivotTable8"/>
  </pivotTables>
  <data>
    <olap pivotCacheId="2120513673">
      <levels count="2">
        <level uniqueName="[Celender_Table].[Column1 (Year)].[(All)]" sourceCaption="(All)" count="0"/>
        <level uniqueName="[Celender_Table].[Column1 (Year)].[Column1 (Year)]" sourceCaption="Column1 (Year)" count="2">
          <ranges>
            <range startItem="0">
              <i n="[Celender_Table].[Column1 (Year)].&amp;[2023]" c="2023"/>
              <i n="[Celender_Table].[Column1 (Year)].&amp;[2024]" c="2024"/>
            </range>
          </ranges>
        </level>
      </levels>
      <selections count="1">
        <selection n="[Celender_Table].[Column1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0A5BAD5-C017-4EFF-8A4D-660681E63A93}" cache="Slicer_Month" caption="Month" showCaption="0" level="1" style="My Style" rowHeight="234950"/>
  <slicer name="Column1 (Year)" xr10:uid="{2857050B-1D1B-4BC6-8830-3775B254BD18}" cache="Slicer_Column1__Year" caption="Column1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C559D-06DE-448D-901F-FCC8DD4A83E1}">
  <dimension ref="A2:N70"/>
  <sheetViews>
    <sheetView topLeftCell="A27" zoomScale="160" zoomScaleNormal="160" workbookViewId="0">
      <selection activeCell="B31" sqref="B31"/>
    </sheetView>
  </sheetViews>
  <sheetFormatPr defaultRowHeight="14.4" x14ac:dyDescent="0.3"/>
  <cols>
    <col min="1" max="1" width="12.5546875" bestFit="1" customWidth="1"/>
    <col min="2" max="2" width="21.6640625" bestFit="1" customWidth="1"/>
    <col min="3" max="3" width="26.33203125" bestFit="1" customWidth="1"/>
    <col min="4" max="4" width="21.109375" customWidth="1"/>
    <col min="5" max="5" width="12.5546875" bestFit="1" customWidth="1"/>
    <col min="6" max="6" width="17" bestFit="1" customWidth="1"/>
    <col min="9" max="9" width="12.5546875" bestFit="1" customWidth="1"/>
    <col min="10" max="10" width="25" bestFit="1" customWidth="1"/>
    <col min="13" max="13" width="12.5546875" bestFit="1" customWidth="1"/>
    <col min="14" max="14" width="32.44140625" bestFit="1" customWidth="1"/>
  </cols>
  <sheetData>
    <row r="2" spans="2:14" x14ac:dyDescent="0.3">
      <c r="E2" s="20" t="s">
        <v>8</v>
      </c>
      <c r="F2" s="20"/>
      <c r="I2" s="20" t="s">
        <v>9</v>
      </c>
      <c r="J2" s="20"/>
      <c r="M2" s="20" t="s">
        <v>3</v>
      </c>
      <c r="N2" s="20"/>
    </row>
    <row r="3" spans="2:14" x14ac:dyDescent="0.3">
      <c r="E3" s="7" t="s">
        <v>4</v>
      </c>
      <c r="F3" s="8" t="s">
        <v>7</v>
      </c>
      <c r="I3" s="7" t="s">
        <v>4</v>
      </c>
      <c r="J3" s="8" t="s">
        <v>2</v>
      </c>
      <c r="M3" s="7" t="s">
        <v>4</v>
      </c>
      <c r="N3" s="8" t="s">
        <v>3</v>
      </c>
    </row>
    <row r="4" spans="2:14" x14ac:dyDescent="0.3">
      <c r="B4" s="10" t="s">
        <v>1</v>
      </c>
      <c r="E4" s="6" t="s">
        <v>42</v>
      </c>
      <c r="F4" s="22">
        <v>26</v>
      </c>
      <c r="I4" s="6" t="s">
        <v>42</v>
      </c>
      <c r="J4" s="9">
        <v>34.884615384615387</v>
      </c>
      <c r="M4" s="6" t="s">
        <v>42</v>
      </c>
      <c r="N4" s="9">
        <v>4.8</v>
      </c>
    </row>
    <row r="5" spans="2:14" x14ac:dyDescent="0.3">
      <c r="B5" t="s">
        <v>0</v>
      </c>
      <c r="E5" s="6" t="s">
        <v>43</v>
      </c>
      <c r="F5" s="22">
        <v>17</v>
      </c>
      <c r="I5" s="6" t="s">
        <v>43</v>
      </c>
      <c r="J5" s="9">
        <v>34.941176470588232</v>
      </c>
      <c r="M5" s="6" t="s">
        <v>43</v>
      </c>
      <c r="N5" s="9">
        <v>5.333333333333333</v>
      </c>
    </row>
    <row r="6" spans="2:14" x14ac:dyDescent="0.3">
      <c r="B6" s="21">
        <v>506</v>
      </c>
      <c r="E6" s="6" t="s">
        <v>44</v>
      </c>
      <c r="F6" s="22">
        <v>19</v>
      </c>
      <c r="I6" s="6" t="s">
        <v>44</v>
      </c>
      <c r="J6" s="9">
        <v>32.736842105263158</v>
      </c>
      <c r="M6" s="6" t="s">
        <v>44</v>
      </c>
      <c r="N6" s="9">
        <v>6.666666666666667</v>
      </c>
    </row>
    <row r="7" spans="2:14" x14ac:dyDescent="0.3">
      <c r="E7" s="6" t="s">
        <v>45</v>
      </c>
      <c r="F7" s="22">
        <v>17</v>
      </c>
      <c r="I7" s="6" t="s">
        <v>45</v>
      </c>
      <c r="J7" s="9">
        <v>34.411764705882355</v>
      </c>
      <c r="M7" s="6" t="s">
        <v>45</v>
      </c>
      <c r="N7" s="9">
        <v>4.5555555555555554</v>
      </c>
    </row>
    <row r="8" spans="2:14" x14ac:dyDescent="0.3">
      <c r="E8" s="6" t="s">
        <v>46</v>
      </c>
      <c r="F8" s="22">
        <v>18</v>
      </c>
      <c r="I8" s="6" t="s">
        <v>46</v>
      </c>
      <c r="J8" s="9">
        <v>34.388888888888886</v>
      </c>
      <c r="M8" s="6" t="s">
        <v>46</v>
      </c>
      <c r="N8" s="9">
        <v>4.333333333333333</v>
      </c>
    </row>
    <row r="9" spans="2:14" x14ac:dyDescent="0.3">
      <c r="E9" s="6" t="s">
        <v>47</v>
      </c>
      <c r="F9" s="22">
        <v>17</v>
      </c>
      <c r="I9" s="6" t="s">
        <v>47</v>
      </c>
      <c r="J9" s="9">
        <v>33.294117647058826</v>
      </c>
      <c r="M9" s="6" t="s">
        <v>47</v>
      </c>
      <c r="N9" s="9">
        <v>7.333333333333333</v>
      </c>
    </row>
    <row r="10" spans="2:14" x14ac:dyDescent="0.3">
      <c r="B10" t="s">
        <v>2</v>
      </c>
      <c r="E10" s="6" t="s">
        <v>48</v>
      </c>
      <c r="F10" s="22">
        <v>17</v>
      </c>
      <c r="I10" s="6" t="s">
        <v>48</v>
      </c>
      <c r="J10" s="9">
        <v>35</v>
      </c>
      <c r="M10" s="6" t="s">
        <v>48</v>
      </c>
      <c r="N10" s="9">
        <v>5.25</v>
      </c>
    </row>
    <row r="11" spans="2:14" x14ac:dyDescent="0.3">
      <c r="B11" s="1">
        <v>35.581027667984188</v>
      </c>
      <c r="E11" s="6" t="s">
        <v>49</v>
      </c>
      <c r="F11" s="22">
        <v>19</v>
      </c>
      <c r="I11" s="6" t="s">
        <v>49</v>
      </c>
      <c r="J11" s="9">
        <v>36.736842105263158</v>
      </c>
      <c r="M11" s="6" t="s">
        <v>49</v>
      </c>
      <c r="N11" s="9">
        <v>6.333333333333333</v>
      </c>
    </row>
    <row r="12" spans="2:14" x14ac:dyDescent="0.3">
      <c r="E12" s="6" t="s">
        <v>50</v>
      </c>
      <c r="F12" s="22">
        <v>19</v>
      </c>
      <c r="I12" s="6" t="s">
        <v>50</v>
      </c>
      <c r="J12" s="9">
        <v>37.368421052631582</v>
      </c>
      <c r="M12" s="6" t="s">
        <v>50</v>
      </c>
      <c r="N12" s="9">
        <v>5.7142857142857144</v>
      </c>
    </row>
    <row r="13" spans="2:14" x14ac:dyDescent="0.3">
      <c r="E13" s="6" t="s">
        <v>51</v>
      </c>
      <c r="F13" s="22">
        <v>14</v>
      </c>
      <c r="I13" s="6" t="s">
        <v>51</v>
      </c>
      <c r="J13" s="9">
        <v>31.428571428571427</v>
      </c>
      <c r="M13" s="6" t="s">
        <v>51</v>
      </c>
      <c r="N13" s="9">
        <v>5</v>
      </c>
    </row>
    <row r="14" spans="2:14" x14ac:dyDescent="0.3">
      <c r="B14" t="s">
        <v>3</v>
      </c>
      <c r="E14" s="6" t="s">
        <v>52</v>
      </c>
      <c r="F14" s="22">
        <v>17</v>
      </c>
      <c r="I14" s="6" t="s">
        <v>52</v>
      </c>
      <c r="J14" s="9">
        <v>45.470588235294116</v>
      </c>
      <c r="M14" s="6" t="s">
        <v>52</v>
      </c>
      <c r="N14" s="9">
        <v>6.166666666666667</v>
      </c>
    </row>
    <row r="15" spans="2:14" x14ac:dyDescent="0.3">
      <c r="B15" s="1">
        <v>5.1818181818181817</v>
      </c>
      <c r="E15" s="6" t="s">
        <v>53</v>
      </c>
      <c r="F15" s="22">
        <v>20</v>
      </c>
      <c r="I15" s="6" t="s">
        <v>53</v>
      </c>
      <c r="J15" s="9">
        <v>32.549999999999997</v>
      </c>
      <c r="M15" s="6" t="s">
        <v>53</v>
      </c>
      <c r="N15" s="9">
        <v>3</v>
      </c>
    </row>
    <row r="16" spans="2:14" x14ac:dyDescent="0.3">
      <c r="E16" s="6" t="s">
        <v>54</v>
      </c>
      <c r="F16" s="22">
        <v>13</v>
      </c>
      <c r="I16" s="6" t="s">
        <v>54</v>
      </c>
      <c r="J16" s="9">
        <v>39.615384615384613</v>
      </c>
      <c r="M16" s="6" t="s">
        <v>54</v>
      </c>
      <c r="N16" s="9">
        <v>4.5</v>
      </c>
    </row>
    <row r="17" spans="1:14" x14ac:dyDescent="0.3">
      <c r="E17" s="6" t="s">
        <v>55</v>
      </c>
      <c r="F17" s="22">
        <v>14</v>
      </c>
      <c r="I17" s="6" t="s">
        <v>55</v>
      </c>
      <c r="J17" s="9">
        <v>36</v>
      </c>
      <c r="M17" s="6" t="s">
        <v>55</v>
      </c>
      <c r="N17" s="9">
        <v>4.666666666666667</v>
      </c>
    </row>
    <row r="18" spans="1:14" x14ac:dyDescent="0.3">
      <c r="E18" s="6" t="s">
        <v>56</v>
      </c>
      <c r="F18" s="22">
        <v>15</v>
      </c>
      <c r="I18" s="6" t="s">
        <v>56</v>
      </c>
      <c r="J18" s="9">
        <v>31.6</v>
      </c>
      <c r="M18" s="6" t="s">
        <v>56</v>
      </c>
      <c r="N18" s="9">
        <v>9</v>
      </c>
    </row>
    <row r="19" spans="1:14" x14ac:dyDescent="0.3">
      <c r="B19" s="3" t="s">
        <v>4</v>
      </c>
      <c r="C19" t="s">
        <v>31</v>
      </c>
      <c r="D19" t="s">
        <v>32</v>
      </c>
      <c r="E19" s="6" t="s">
        <v>57</v>
      </c>
      <c r="F19" s="22">
        <v>13</v>
      </c>
      <c r="I19" s="6" t="s">
        <v>57</v>
      </c>
      <c r="J19" s="9">
        <v>33.846153846153847</v>
      </c>
      <c r="M19" s="6" t="s">
        <v>57</v>
      </c>
      <c r="N19" s="9">
        <v>1.5</v>
      </c>
    </row>
    <row r="20" spans="1:14" x14ac:dyDescent="0.3">
      <c r="B20" s="4" t="s">
        <v>12</v>
      </c>
      <c r="C20" s="11">
        <v>252</v>
      </c>
      <c r="D20" s="12">
        <v>0.49802371541501977</v>
      </c>
      <c r="E20" s="6" t="s">
        <v>58</v>
      </c>
      <c r="F20" s="22">
        <v>15</v>
      </c>
      <c r="I20" s="6" t="s">
        <v>58</v>
      </c>
      <c r="J20" s="9">
        <v>31.8</v>
      </c>
      <c r="M20" s="6" t="s">
        <v>58</v>
      </c>
      <c r="N20" s="9">
        <v>6.8</v>
      </c>
    </row>
    <row r="21" spans="1:14" x14ac:dyDescent="0.3">
      <c r="B21" s="4" t="s">
        <v>23</v>
      </c>
      <c r="C21" s="11">
        <v>254</v>
      </c>
      <c r="D21" s="12">
        <v>0.50197628458498023</v>
      </c>
      <c r="E21" s="6" t="s">
        <v>59</v>
      </c>
      <c r="F21" s="22">
        <v>17</v>
      </c>
      <c r="I21" s="6" t="s">
        <v>59</v>
      </c>
      <c r="J21" s="9">
        <v>36</v>
      </c>
      <c r="M21" s="6" t="s">
        <v>59</v>
      </c>
      <c r="N21" s="9">
        <v>4.625</v>
      </c>
    </row>
    <row r="22" spans="1:14" x14ac:dyDescent="0.3">
      <c r="B22" s="4" t="s">
        <v>5</v>
      </c>
      <c r="C22" s="11">
        <v>506</v>
      </c>
      <c r="D22" s="12">
        <v>1</v>
      </c>
      <c r="E22" s="6" t="s">
        <v>60</v>
      </c>
      <c r="F22" s="22">
        <v>10</v>
      </c>
      <c r="I22" s="6" t="s">
        <v>60</v>
      </c>
      <c r="J22" s="9">
        <v>29.8</v>
      </c>
      <c r="M22" s="6" t="s">
        <v>60</v>
      </c>
      <c r="N22" s="9">
        <v>4.333333333333333</v>
      </c>
    </row>
    <row r="23" spans="1:14" x14ac:dyDescent="0.3">
      <c r="E23" s="6" t="s">
        <v>61</v>
      </c>
      <c r="F23" s="22">
        <v>13</v>
      </c>
      <c r="I23" s="6" t="s">
        <v>61</v>
      </c>
      <c r="J23" s="9">
        <v>41.307692307692307</v>
      </c>
      <c r="M23" s="6" t="s">
        <v>61</v>
      </c>
      <c r="N23" s="9">
        <v>1.3333333333333333</v>
      </c>
    </row>
    <row r="24" spans="1:14" ht="9" customHeight="1" x14ac:dyDescent="0.3">
      <c r="E24" s="6" t="s">
        <v>62</v>
      </c>
      <c r="F24" s="22">
        <v>17</v>
      </c>
      <c r="I24" s="6" t="s">
        <v>62</v>
      </c>
      <c r="J24" s="9">
        <v>29.764705882352942</v>
      </c>
      <c r="M24" s="6" t="s">
        <v>62</v>
      </c>
      <c r="N24" s="9">
        <v>5</v>
      </c>
    </row>
    <row r="25" spans="1:14" x14ac:dyDescent="0.3">
      <c r="A25" s="15" t="s">
        <v>33</v>
      </c>
      <c r="B25" s="16" t="s">
        <v>35</v>
      </c>
      <c r="C25" s="16" t="s">
        <v>34</v>
      </c>
      <c r="D25" s="13"/>
      <c r="E25" s="6" t="s">
        <v>63</v>
      </c>
      <c r="F25" s="22">
        <v>26</v>
      </c>
      <c r="I25" s="6" t="s">
        <v>63</v>
      </c>
      <c r="J25" s="9">
        <v>37.92307692307692</v>
      </c>
      <c r="M25" s="6" t="s">
        <v>63</v>
      </c>
      <c r="N25" s="9">
        <v>3.1666666666666665</v>
      </c>
    </row>
    <row r="26" spans="1:14" x14ac:dyDescent="0.3">
      <c r="A26" s="17" t="str">
        <f>B21</f>
        <v>Not Admitted</v>
      </c>
      <c r="B26" s="17">
        <f>C21</f>
        <v>254</v>
      </c>
      <c r="C26" s="18">
        <f>D21</f>
        <v>0.50197628458498023</v>
      </c>
      <c r="D26" s="14"/>
      <c r="E26" s="6" t="s">
        <v>64</v>
      </c>
      <c r="F26" s="22">
        <v>8</v>
      </c>
      <c r="I26" s="6" t="s">
        <v>64</v>
      </c>
      <c r="J26" s="9">
        <v>38.625</v>
      </c>
      <c r="M26" s="6" t="s">
        <v>64</v>
      </c>
      <c r="N26" s="9">
        <v>7.5</v>
      </c>
    </row>
    <row r="27" spans="1:14" ht="27" customHeight="1" x14ac:dyDescent="0.3">
      <c r="A27" s="17" t="str">
        <f>B20</f>
        <v>Admitted</v>
      </c>
      <c r="B27" s="17">
        <f>C20</f>
        <v>252</v>
      </c>
      <c r="C27" s="18">
        <f>D20</f>
        <v>0.49802371541501977</v>
      </c>
      <c r="D27" s="14"/>
      <c r="E27" s="6" t="s">
        <v>65</v>
      </c>
      <c r="F27" s="22">
        <v>17</v>
      </c>
      <c r="I27" s="6" t="s">
        <v>65</v>
      </c>
      <c r="J27" s="9">
        <v>41.470588235294116</v>
      </c>
      <c r="M27" s="6" t="s">
        <v>65</v>
      </c>
      <c r="N27" s="9">
        <v>4.2</v>
      </c>
    </row>
    <row r="28" spans="1:14" x14ac:dyDescent="0.3">
      <c r="E28" s="6" t="s">
        <v>66</v>
      </c>
      <c r="F28" s="22">
        <v>18</v>
      </c>
      <c r="I28" s="6" t="s">
        <v>66</v>
      </c>
      <c r="J28" s="9">
        <v>39.5</v>
      </c>
      <c r="M28" s="6" t="s">
        <v>66</v>
      </c>
      <c r="N28" s="9">
        <v>4.625</v>
      </c>
    </row>
    <row r="29" spans="1:14" x14ac:dyDescent="0.3">
      <c r="E29" s="6" t="s">
        <v>67</v>
      </c>
      <c r="F29" s="22">
        <v>19</v>
      </c>
      <c r="I29" s="6" t="s">
        <v>67</v>
      </c>
      <c r="J29" s="9">
        <v>29.736842105263158</v>
      </c>
      <c r="M29" s="6" t="s">
        <v>67</v>
      </c>
      <c r="N29" s="9">
        <v>9.6666666666666661</v>
      </c>
    </row>
    <row r="30" spans="1:14" x14ac:dyDescent="0.3">
      <c r="E30" s="6" t="s">
        <v>68</v>
      </c>
      <c r="F30" s="22">
        <v>20</v>
      </c>
      <c r="I30" s="6" t="s">
        <v>68</v>
      </c>
      <c r="J30" s="9">
        <v>37.75</v>
      </c>
      <c r="M30" s="6" t="s">
        <v>68</v>
      </c>
      <c r="N30" s="9">
        <v>6.125</v>
      </c>
    </row>
    <row r="31" spans="1:14" x14ac:dyDescent="0.3">
      <c r="A31" s="3" t="s">
        <v>4</v>
      </c>
      <c r="B31" t="s">
        <v>38</v>
      </c>
      <c r="E31" s="6" t="s">
        <v>69</v>
      </c>
      <c r="F31" s="22">
        <v>23</v>
      </c>
      <c r="I31" s="6" t="s">
        <v>69</v>
      </c>
      <c r="J31" s="9">
        <v>37.782608695652172</v>
      </c>
      <c r="M31" s="6" t="s">
        <v>69</v>
      </c>
      <c r="N31" s="9">
        <v>5.5555555555555554</v>
      </c>
    </row>
    <row r="32" spans="1:14" x14ac:dyDescent="0.3">
      <c r="A32" s="4" t="s">
        <v>20</v>
      </c>
      <c r="B32" s="21">
        <v>54</v>
      </c>
      <c r="E32" s="6" t="s">
        <v>70</v>
      </c>
      <c r="F32" s="22">
        <v>16</v>
      </c>
      <c r="I32" s="6" t="s">
        <v>70</v>
      </c>
      <c r="J32" s="9">
        <v>34.1875</v>
      </c>
      <c r="M32" s="6" t="s">
        <v>70</v>
      </c>
      <c r="N32" s="9">
        <v>6.333333333333333</v>
      </c>
    </row>
    <row r="33" spans="1:14" x14ac:dyDescent="0.3">
      <c r="A33" s="4" t="s">
        <v>16</v>
      </c>
      <c r="B33" s="21">
        <v>72</v>
      </c>
      <c r="E33" s="6" t="s">
        <v>71</v>
      </c>
      <c r="F33" s="22">
        <v>12</v>
      </c>
      <c r="I33" s="6" t="s">
        <v>71</v>
      </c>
      <c r="J33" s="9">
        <v>36.166666666666664</v>
      </c>
      <c r="M33" s="6" t="s">
        <v>71</v>
      </c>
      <c r="N33" s="9">
        <v>5.333333333333333</v>
      </c>
    </row>
    <row r="34" spans="1:14" x14ac:dyDescent="0.3">
      <c r="A34" s="4" t="s">
        <v>13</v>
      </c>
      <c r="B34" s="21">
        <v>75</v>
      </c>
      <c r="E34" s="6" t="s">
        <v>5</v>
      </c>
      <c r="F34" s="22">
        <v>506</v>
      </c>
      <c r="I34" s="6" t="s">
        <v>5</v>
      </c>
      <c r="J34" s="9">
        <v>35.581027667984188</v>
      </c>
      <c r="M34" s="6" t="s">
        <v>5</v>
      </c>
      <c r="N34" s="9">
        <v>5.1818181818181817</v>
      </c>
    </row>
    <row r="35" spans="1:14" x14ac:dyDescent="0.3">
      <c r="A35" s="4" t="s">
        <v>19</v>
      </c>
      <c r="B35" s="21">
        <v>62</v>
      </c>
    </row>
    <row r="36" spans="1:14" x14ac:dyDescent="0.3">
      <c r="A36" s="4" t="s">
        <v>22</v>
      </c>
      <c r="B36" s="21">
        <v>63</v>
      </c>
    </row>
    <row r="37" spans="1:14" x14ac:dyDescent="0.3">
      <c r="A37" s="4" t="s">
        <v>37</v>
      </c>
      <c r="B37" s="21">
        <v>49</v>
      </c>
    </row>
    <row r="38" spans="1:14" x14ac:dyDescent="0.3">
      <c r="A38" s="4" t="s">
        <v>18</v>
      </c>
      <c r="B38" s="21">
        <v>74</v>
      </c>
    </row>
    <row r="39" spans="1:14" x14ac:dyDescent="0.3">
      <c r="A39" s="4" t="s">
        <v>15</v>
      </c>
      <c r="B39" s="21">
        <v>57</v>
      </c>
    </row>
    <row r="40" spans="1:14" x14ac:dyDescent="0.3">
      <c r="A40" s="4" t="s">
        <v>5</v>
      </c>
      <c r="B40" s="21">
        <v>506</v>
      </c>
    </row>
    <row r="45" spans="1:14" x14ac:dyDescent="0.3">
      <c r="A45" s="3" t="s">
        <v>4</v>
      </c>
      <c r="B45" t="s">
        <v>39</v>
      </c>
    </row>
    <row r="46" spans="1:14" x14ac:dyDescent="0.3">
      <c r="A46" s="4" t="s">
        <v>14</v>
      </c>
      <c r="B46" s="21">
        <v>311</v>
      </c>
    </row>
    <row r="47" spans="1:14" x14ac:dyDescent="0.3">
      <c r="A47" s="4" t="s">
        <v>17</v>
      </c>
      <c r="B47" s="21">
        <v>195</v>
      </c>
    </row>
    <row r="48" spans="1:14" x14ac:dyDescent="0.3">
      <c r="A48" s="4" t="s">
        <v>5</v>
      </c>
      <c r="B48" s="21">
        <v>506</v>
      </c>
    </row>
    <row r="51" spans="1:2" x14ac:dyDescent="0.3">
      <c r="A51" s="3" t="s">
        <v>4</v>
      </c>
      <c r="B51" t="s">
        <v>40</v>
      </c>
    </row>
    <row r="52" spans="1:2" x14ac:dyDescent="0.3">
      <c r="A52" s="4" t="s">
        <v>21</v>
      </c>
      <c r="B52" s="21">
        <v>233</v>
      </c>
    </row>
    <row r="53" spans="1:2" x14ac:dyDescent="0.3">
      <c r="A53" s="4" t="s">
        <v>10</v>
      </c>
      <c r="B53" s="21">
        <v>273</v>
      </c>
    </row>
    <row r="54" spans="1:2" x14ac:dyDescent="0.3">
      <c r="A54" s="4" t="s">
        <v>5</v>
      </c>
      <c r="B54" s="21">
        <v>506</v>
      </c>
    </row>
    <row r="56" spans="1:2" x14ac:dyDescent="0.3">
      <c r="A56" s="3" t="s">
        <v>4</v>
      </c>
      <c r="B56" t="s">
        <v>41</v>
      </c>
    </row>
    <row r="57" spans="1:2" x14ac:dyDescent="0.3">
      <c r="A57" s="4" t="s">
        <v>30</v>
      </c>
      <c r="B57" s="21">
        <v>2</v>
      </c>
    </row>
    <row r="58" spans="1:2" x14ac:dyDescent="0.3">
      <c r="A58" s="4" t="s">
        <v>29</v>
      </c>
      <c r="B58" s="21">
        <v>11</v>
      </c>
    </row>
    <row r="59" spans="1:2" x14ac:dyDescent="0.3">
      <c r="A59" s="4" t="s">
        <v>27</v>
      </c>
      <c r="B59" s="21">
        <v>12</v>
      </c>
    </row>
    <row r="60" spans="1:2" x14ac:dyDescent="0.3">
      <c r="A60" s="4" t="s">
        <v>28</v>
      </c>
      <c r="B60" s="21">
        <v>15</v>
      </c>
    </row>
    <row r="61" spans="1:2" x14ac:dyDescent="0.3">
      <c r="A61" s="4" t="s">
        <v>26</v>
      </c>
      <c r="B61" s="21">
        <v>18</v>
      </c>
    </row>
    <row r="62" spans="1:2" x14ac:dyDescent="0.3">
      <c r="A62" s="4" t="s">
        <v>25</v>
      </c>
      <c r="B62" s="21">
        <v>60</v>
      </c>
    </row>
    <row r="63" spans="1:2" x14ac:dyDescent="0.3">
      <c r="A63" s="4" t="s">
        <v>24</v>
      </c>
      <c r="B63" s="21">
        <v>83</v>
      </c>
    </row>
    <row r="64" spans="1:2" x14ac:dyDescent="0.3">
      <c r="A64" s="4" t="s">
        <v>11</v>
      </c>
      <c r="B64" s="21">
        <v>305</v>
      </c>
    </row>
    <row r="65" spans="1:2" x14ac:dyDescent="0.3">
      <c r="A65" s="4" t="s">
        <v>5</v>
      </c>
      <c r="B65" s="21">
        <v>506</v>
      </c>
    </row>
    <row r="68" spans="1:2" x14ac:dyDescent="0.3">
      <c r="A68" s="3" t="s">
        <v>4</v>
      </c>
    </row>
    <row r="69" spans="1:2" x14ac:dyDescent="0.3">
      <c r="A69" s="4" t="s">
        <v>6</v>
      </c>
    </row>
    <row r="70" spans="1:2" x14ac:dyDescent="0.3">
      <c r="A70" s="4" t="s">
        <v>5</v>
      </c>
    </row>
  </sheetData>
  <mergeCells count="3">
    <mergeCell ref="E2:F2"/>
    <mergeCell ref="I2:J2"/>
    <mergeCell ref="M2:N2"/>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FF3E-6CBC-494B-BFAD-7EC6F97BAC95}">
  <dimension ref="A1:T31"/>
  <sheetViews>
    <sheetView tabSelected="1" zoomScaleNormal="100" workbookViewId="0">
      <selection activeCell="T21" sqref="T21"/>
    </sheetView>
  </sheetViews>
  <sheetFormatPr defaultRowHeight="14.4" x14ac:dyDescent="0.3"/>
  <sheetData>
    <row r="1" spans="1:20" x14ac:dyDescent="0.3">
      <c r="A1" s="2"/>
      <c r="B1" s="2"/>
      <c r="C1" s="2"/>
      <c r="D1" s="2"/>
      <c r="E1" s="2"/>
      <c r="F1" s="2"/>
      <c r="G1" s="2"/>
      <c r="H1" s="2"/>
      <c r="I1" s="2"/>
      <c r="J1" s="2"/>
      <c r="K1" s="2"/>
      <c r="L1" s="2"/>
      <c r="M1" s="2"/>
      <c r="N1" s="2"/>
      <c r="O1" s="2"/>
      <c r="P1" s="2"/>
      <c r="Q1" s="2"/>
      <c r="R1" s="2"/>
    </row>
    <row r="2" spans="1:20" x14ac:dyDescent="0.3">
      <c r="A2" s="2"/>
      <c r="B2" s="2"/>
      <c r="C2" s="2"/>
      <c r="D2" s="2"/>
      <c r="E2" s="2"/>
      <c r="F2" s="2"/>
      <c r="G2" s="2"/>
      <c r="H2" s="2"/>
      <c r="I2" s="2"/>
      <c r="J2" s="2"/>
      <c r="K2" s="2"/>
      <c r="L2" s="2"/>
      <c r="M2" s="2"/>
      <c r="N2" s="2"/>
      <c r="O2" s="2"/>
      <c r="P2" s="2"/>
      <c r="Q2" s="2"/>
      <c r="R2" s="2"/>
    </row>
    <row r="3" spans="1:20" x14ac:dyDescent="0.3">
      <c r="A3" s="2"/>
      <c r="B3" s="2"/>
      <c r="C3" s="2"/>
      <c r="D3" s="2"/>
      <c r="E3" s="2"/>
      <c r="F3" s="2"/>
      <c r="G3" s="2"/>
      <c r="H3" s="2"/>
      <c r="I3" s="2"/>
      <c r="J3" s="2"/>
      <c r="K3" s="2"/>
      <c r="L3" s="2"/>
      <c r="M3" s="2"/>
      <c r="N3" s="2"/>
      <c r="O3" s="2"/>
      <c r="P3" s="2"/>
      <c r="Q3" s="2"/>
      <c r="R3" s="2"/>
    </row>
    <row r="4" spans="1:20" x14ac:dyDescent="0.3">
      <c r="A4" s="2"/>
      <c r="B4" s="2"/>
      <c r="C4" s="2"/>
      <c r="D4" s="2"/>
      <c r="E4" s="2"/>
      <c r="F4" s="2"/>
      <c r="G4" s="2"/>
      <c r="H4" s="2"/>
      <c r="I4" s="2"/>
      <c r="J4" s="2"/>
      <c r="K4" s="2"/>
      <c r="L4" s="2"/>
      <c r="M4" s="2"/>
      <c r="N4" s="2"/>
      <c r="O4" s="2"/>
      <c r="P4" s="2"/>
      <c r="Q4" s="2"/>
      <c r="R4" s="2"/>
    </row>
    <row r="5" spans="1:20" x14ac:dyDescent="0.3">
      <c r="A5" s="2"/>
      <c r="B5" s="2"/>
      <c r="C5" s="2"/>
      <c r="D5" s="2"/>
      <c r="E5" s="2"/>
      <c r="F5" s="2"/>
      <c r="G5" s="2"/>
      <c r="H5" s="2"/>
      <c r="I5" s="2"/>
      <c r="J5" s="2"/>
      <c r="K5" s="2"/>
      <c r="L5" s="2"/>
      <c r="M5" s="2"/>
      <c r="N5" s="2"/>
      <c r="O5" s="2"/>
      <c r="P5" s="2"/>
      <c r="Q5" s="2"/>
      <c r="R5" s="2"/>
    </row>
    <row r="6" spans="1:20" x14ac:dyDescent="0.3">
      <c r="A6" s="2"/>
      <c r="B6" s="2"/>
      <c r="C6" s="2"/>
      <c r="D6" s="2"/>
      <c r="E6" s="2"/>
      <c r="F6" s="2"/>
      <c r="G6" s="2"/>
      <c r="H6" s="2"/>
      <c r="I6" s="2"/>
      <c r="J6" s="2"/>
      <c r="K6" s="2"/>
      <c r="L6" s="2"/>
      <c r="M6" s="2"/>
      <c r="N6" s="2"/>
      <c r="O6" s="2"/>
      <c r="P6" s="2"/>
      <c r="Q6" s="2"/>
      <c r="R6" s="2"/>
    </row>
    <row r="7" spans="1:20" x14ac:dyDescent="0.3">
      <c r="A7" s="2"/>
      <c r="B7" s="2"/>
      <c r="C7" s="2"/>
      <c r="D7" s="2"/>
      <c r="E7" s="2"/>
      <c r="F7" s="2"/>
      <c r="G7" s="2"/>
      <c r="H7" s="2"/>
      <c r="I7" s="2"/>
      <c r="J7" s="2"/>
      <c r="K7" s="2"/>
      <c r="L7" s="2"/>
      <c r="M7" s="2"/>
      <c r="N7" s="2"/>
      <c r="O7" s="2"/>
      <c r="P7" s="2"/>
      <c r="Q7" s="2"/>
      <c r="R7" s="2"/>
    </row>
    <row r="8" spans="1:20" x14ac:dyDescent="0.3">
      <c r="A8" s="2"/>
      <c r="B8" s="2"/>
      <c r="C8" s="2"/>
      <c r="D8" s="2"/>
      <c r="E8" s="2"/>
      <c r="F8" s="2"/>
      <c r="G8" s="2"/>
      <c r="H8" s="2"/>
      <c r="I8" s="2"/>
      <c r="J8" s="2"/>
      <c r="K8" s="2"/>
      <c r="L8" s="2"/>
      <c r="M8" s="2"/>
      <c r="N8" s="2"/>
      <c r="O8" s="2"/>
      <c r="P8" s="2"/>
      <c r="Q8" s="2"/>
      <c r="R8" s="2"/>
      <c r="T8" t="s">
        <v>36</v>
      </c>
    </row>
    <row r="9" spans="1:20" x14ac:dyDescent="0.3">
      <c r="A9" s="2"/>
      <c r="B9" s="2"/>
      <c r="C9" s="2"/>
      <c r="D9" s="2"/>
      <c r="E9" s="2"/>
      <c r="F9" s="2"/>
      <c r="G9" s="2"/>
      <c r="H9" s="2"/>
      <c r="I9" s="2"/>
      <c r="J9" s="2"/>
      <c r="K9" s="2"/>
      <c r="L9" s="2"/>
      <c r="M9" s="2"/>
      <c r="N9" s="2"/>
      <c r="O9" s="2"/>
      <c r="P9" s="2"/>
      <c r="Q9" s="2"/>
      <c r="R9" s="2"/>
    </row>
    <row r="10" spans="1:20" x14ac:dyDescent="0.3">
      <c r="A10" s="2"/>
      <c r="B10" s="2"/>
      <c r="C10" s="2"/>
      <c r="D10" s="2"/>
      <c r="E10" s="2"/>
      <c r="F10" s="2"/>
      <c r="G10" s="2"/>
      <c r="H10" s="2"/>
      <c r="I10" s="2"/>
      <c r="J10" s="2"/>
      <c r="K10" s="2"/>
      <c r="L10" s="2"/>
      <c r="M10" s="2"/>
      <c r="N10" s="2"/>
      <c r="O10" s="2"/>
      <c r="P10" s="2"/>
      <c r="Q10" s="2"/>
      <c r="R10" s="2"/>
    </row>
    <row r="11" spans="1:20" x14ac:dyDescent="0.3">
      <c r="A11" s="2"/>
      <c r="B11" s="2"/>
      <c r="C11" s="2"/>
      <c r="D11" s="2"/>
      <c r="E11" s="2"/>
      <c r="F11" s="2"/>
      <c r="G11" s="2"/>
      <c r="H11" s="2"/>
      <c r="I11" s="2"/>
      <c r="J11" s="2"/>
      <c r="K11" s="2"/>
      <c r="L11" s="2"/>
      <c r="M11" s="2"/>
      <c r="N11" s="2"/>
      <c r="O11" s="2"/>
      <c r="P11" s="2"/>
      <c r="Q11" s="2"/>
      <c r="R11" s="2"/>
    </row>
    <row r="12" spans="1:20" x14ac:dyDescent="0.3">
      <c r="A12" s="2"/>
      <c r="B12" s="2"/>
      <c r="C12" s="2"/>
      <c r="D12" s="2"/>
      <c r="E12" s="2"/>
      <c r="F12" s="2"/>
      <c r="G12" s="2"/>
      <c r="H12" s="2"/>
      <c r="I12" s="2"/>
      <c r="J12" s="2"/>
      <c r="K12" s="2"/>
      <c r="L12" s="2"/>
      <c r="M12" s="2"/>
      <c r="N12" s="2"/>
      <c r="O12" s="2"/>
      <c r="P12" s="2"/>
      <c r="Q12" s="2"/>
      <c r="R12" s="2"/>
    </row>
    <row r="13" spans="1:20" x14ac:dyDescent="0.3">
      <c r="A13" s="2"/>
      <c r="B13" s="2"/>
      <c r="C13" s="2"/>
      <c r="D13" s="2"/>
      <c r="E13" s="2"/>
      <c r="F13" s="2"/>
      <c r="G13" s="2"/>
      <c r="H13" s="2"/>
      <c r="I13" s="2"/>
      <c r="J13" s="2"/>
      <c r="K13" s="2"/>
      <c r="L13" s="2"/>
      <c r="M13" s="2"/>
      <c r="N13" s="2"/>
      <c r="O13" s="2"/>
      <c r="P13" s="2"/>
      <c r="Q13" s="2"/>
      <c r="R13" s="2"/>
    </row>
    <row r="14" spans="1:20" x14ac:dyDescent="0.3">
      <c r="A14" s="2"/>
      <c r="B14" s="2"/>
      <c r="C14" s="2"/>
      <c r="D14" s="2"/>
      <c r="E14" s="2"/>
      <c r="F14" s="2"/>
      <c r="G14" s="2"/>
      <c r="H14" s="2"/>
      <c r="I14" s="2"/>
      <c r="J14" s="2"/>
      <c r="K14" s="2"/>
      <c r="L14" s="2"/>
      <c r="M14" s="2"/>
      <c r="N14" s="2"/>
      <c r="O14" s="2"/>
      <c r="P14" s="2"/>
      <c r="Q14" s="2"/>
      <c r="R14" s="2"/>
    </row>
    <row r="15" spans="1:20" x14ac:dyDescent="0.3">
      <c r="A15" s="2"/>
      <c r="B15" s="2"/>
      <c r="C15" s="2"/>
      <c r="D15" s="2"/>
      <c r="E15" s="2"/>
      <c r="F15" s="2"/>
      <c r="G15" s="2"/>
      <c r="H15" s="2"/>
      <c r="I15" s="2"/>
      <c r="J15" s="2"/>
      <c r="K15" s="2"/>
      <c r="L15" s="2"/>
      <c r="M15" s="2"/>
      <c r="N15" s="2"/>
      <c r="O15" s="2"/>
      <c r="P15" s="2"/>
      <c r="Q15" s="2"/>
      <c r="R15" s="2"/>
    </row>
    <row r="16" spans="1:20" x14ac:dyDescent="0.3">
      <c r="A16" s="2"/>
      <c r="B16" s="2"/>
      <c r="C16" s="2"/>
      <c r="D16" s="2"/>
      <c r="E16" s="2"/>
      <c r="F16" s="2"/>
      <c r="G16" s="2"/>
      <c r="H16" s="2"/>
      <c r="I16" s="2"/>
      <c r="J16" s="2"/>
      <c r="K16" s="2"/>
      <c r="L16" s="2"/>
      <c r="M16" s="2"/>
      <c r="N16" s="2"/>
      <c r="O16" s="2"/>
      <c r="P16" s="2"/>
      <c r="Q16" s="2"/>
      <c r="R16" s="2"/>
    </row>
    <row r="17" spans="1:18" x14ac:dyDescent="0.3">
      <c r="A17" s="2"/>
      <c r="B17" s="2"/>
      <c r="C17" s="2"/>
      <c r="D17" s="2"/>
      <c r="E17" s="2"/>
      <c r="F17" s="2"/>
      <c r="G17" s="2"/>
      <c r="H17" s="2"/>
      <c r="I17" s="2"/>
      <c r="J17" s="2"/>
      <c r="K17" s="2"/>
      <c r="L17" s="2"/>
      <c r="M17" s="2"/>
      <c r="N17" s="2"/>
      <c r="O17" s="2"/>
      <c r="P17" s="2"/>
      <c r="Q17" s="2"/>
      <c r="R17" s="2"/>
    </row>
    <row r="18" spans="1:18" x14ac:dyDescent="0.3">
      <c r="A18" s="2"/>
      <c r="B18" s="2"/>
      <c r="C18" s="2"/>
      <c r="D18" s="2"/>
      <c r="E18" s="2"/>
      <c r="F18" s="2"/>
      <c r="G18" s="2"/>
      <c r="H18" s="2"/>
      <c r="I18" s="2"/>
      <c r="J18" s="2"/>
      <c r="K18" s="2"/>
      <c r="L18" s="2"/>
      <c r="M18" s="2"/>
      <c r="N18" s="2"/>
      <c r="O18" s="2"/>
      <c r="P18" s="2"/>
      <c r="Q18" s="2"/>
      <c r="R18" s="2"/>
    </row>
    <row r="19" spans="1:18" x14ac:dyDescent="0.3">
      <c r="A19" s="2"/>
      <c r="B19" s="2"/>
      <c r="C19" s="2"/>
      <c r="D19" s="2"/>
      <c r="E19" s="2"/>
      <c r="F19" s="2"/>
      <c r="G19" s="2"/>
      <c r="H19" s="2"/>
      <c r="I19" s="2"/>
      <c r="J19" s="2"/>
      <c r="K19" s="2"/>
      <c r="L19" s="2"/>
      <c r="M19" s="2"/>
      <c r="N19" s="2"/>
      <c r="O19" s="2"/>
      <c r="P19" s="2"/>
      <c r="Q19" s="2"/>
      <c r="R19" s="2"/>
    </row>
    <row r="20" spans="1:18" x14ac:dyDescent="0.3">
      <c r="A20" s="2"/>
      <c r="B20" s="2"/>
      <c r="C20" s="2"/>
      <c r="D20" s="2"/>
      <c r="E20" s="2"/>
      <c r="F20" s="2"/>
      <c r="G20" s="2"/>
      <c r="H20" s="2"/>
      <c r="I20" s="2"/>
      <c r="J20" s="2"/>
      <c r="K20" s="2"/>
      <c r="L20" s="2"/>
      <c r="M20" s="2"/>
      <c r="N20" s="2"/>
      <c r="O20" s="2"/>
      <c r="P20" s="2"/>
      <c r="Q20" s="2"/>
      <c r="R20" s="2"/>
    </row>
    <row r="21" spans="1:18" x14ac:dyDescent="0.3">
      <c r="A21" s="2"/>
      <c r="B21" s="2"/>
      <c r="C21" s="2"/>
      <c r="D21" s="2"/>
      <c r="E21" s="2"/>
      <c r="F21" s="2"/>
      <c r="G21" s="2"/>
      <c r="H21" s="2"/>
      <c r="I21" s="2"/>
      <c r="J21" s="2"/>
      <c r="K21" s="2"/>
      <c r="L21" s="2"/>
      <c r="M21" s="2"/>
      <c r="N21" s="2"/>
      <c r="O21" s="2"/>
      <c r="P21" s="2"/>
      <c r="Q21" s="2"/>
      <c r="R21" s="2"/>
    </row>
    <row r="22" spans="1:18" x14ac:dyDescent="0.3">
      <c r="A22" s="2"/>
      <c r="B22" s="2"/>
      <c r="C22" s="2"/>
      <c r="D22" s="2"/>
      <c r="E22" s="2"/>
      <c r="F22" s="2"/>
      <c r="G22" s="2"/>
      <c r="H22" s="2"/>
      <c r="I22" s="2"/>
      <c r="J22" s="2"/>
      <c r="K22" s="2"/>
      <c r="L22" s="2"/>
      <c r="M22" s="2"/>
      <c r="N22" s="2"/>
      <c r="O22" s="2"/>
      <c r="P22" s="2"/>
      <c r="Q22" s="2"/>
      <c r="R22" s="2"/>
    </row>
    <row r="23" spans="1:18" x14ac:dyDescent="0.3">
      <c r="A23" s="2"/>
      <c r="B23" s="2"/>
      <c r="C23" s="2"/>
      <c r="D23" s="2"/>
      <c r="E23" s="2"/>
      <c r="F23" s="2"/>
      <c r="G23" s="2"/>
      <c r="H23" s="2"/>
      <c r="I23" s="2"/>
      <c r="J23" s="2"/>
      <c r="K23" s="2"/>
      <c r="L23" s="2"/>
      <c r="M23" s="2"/>
      <c r="N23" s="2"/>
      <c r="O23" s="2"/>
      <c r="P23" s="2"/>
      <c r="Q23" s="2"/>
      <c r="R23" s="2"/>
    </row>
    <row r="24" spans="1:18" x14ac:dyDescent="0.3">
      <c r="A24" s="2"/>
      <c r="B24" s="2"/>
      <c r="C24" s="2"/>
      <c r="D24" s="2"/>
      <c r="E24" s="2"/>
      <c r="F24" s="2"/>
      <c r="G24" s="2"/>
      <c r="H24" s="2"/>
      <c r="I24" s="2"/>
      <c r="J24" s="2"/>
      <c r="K24" s="2"/>
      <c r="L24" s="2"/>
      <c r="M24" s="2"/>
      <c r="N24" s="2"/>
      <c r="O24" s="2"/>
      <c r="P24" s="2"/>
      <c r="Q24" s="2"/>
      <c r="R24" s="2"/>
    </row>
    <row r="25" spans="1:18" x14ac:dyDescent="0.3">
      <c r="A25" s="2"/>
      <c r="B25" s="2"/>
      <c r="C25" s="2"/>
      <c r="D25" s="2"/>
      <c r="E25" s="2"/>
      <c r="F25" s="2"/>
      <c r="G25" s="2"/>
      <c r="H25" s="2"/>
      <c r="I25" s="2"/>
      <c r="J25" s="2"/>
      <c r="K25" s="2"/>
      <c r="L25" s="2"/>
      <c r="M25" s="2"/>
      <c r="N25" s="2"/>
      <c r="O25" s="2"/>
      <c r="P25" s="2"/>
      <c r="Q25" s="2"/>
      <c r="R25" s="2"/>
    </row>
    <row r="26" spans="1:18" x14ac:dyDescent="0.3">
      <c r="A26" s="2"/>
      <c r="B26" s="2"/>
      <c r="C26" s="2"/>
      <c r="D26" s="2"/>
      <c r="E26" s="2"/>
      <c r="F26" s="2"/>
      <c r="G26" s="2"/>
      <c r="H26" s="2"/>
      <c r="I26" s="2"/>
      <c r="J26" s="2"/>
      <c r="K26" s="2"/>
      <c r="L26" s="2"/>
      <c r="M26" s="2"/>
      <c r="N26" s="2"/>
      <c r="O26" s="2"/>
      <c r="P26" s="2"/>
      <c r="Q26" s="2"/>
      <c r="R26" s="2"/>
    </row>
    <row r="27" spans="1:18" x14ac:dyDescent="0.3">
      <c r="A27" s="2"/>
      <c r="B27" s="2"/>
      <c r="C27" s="2"/>
      <c r="D27" s="2"/>
      <c r="E27" s="2"/>
      <c r="F27" s="2"/>
      <c r="G27" s="2"/>
      <c r="H27" s="2"/>
      <c r="I27" s="2"/>
      <c r="J27" s="2"/>
      <c r="K27" s="2"/>
      <c r="L27" s="2"/>
      <c r="M27" s="2"/>
      <c r="N27" s="2"/>
      <c r="O27" s="2"/>
      <c r="P27" s="2"/>
      <c r="Q27" s="2"/>
      <c r="R27" s="2"/>
    </row>
    <row r="30" spans="1:18" ht="15.6" x14ac:dyDescent="0.3">
      <c r="D30" s="19"/>
    </row>
    <row r="31" spans="1:18" ht="15.6" x14ac:dyDescent="0.3">
      <c r="F31" s="1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546D-CA06-4BDF-B7F4-D6321F64E28A}">
  <dimension ref="A1:AH24"/>
  <sheetViews>
    <sheetView workbookViewId="0"/>
  </sheetViews>
  <sheetFormatPr defaultRowHeight="14.4" x14ac:dyDescent="0.3"/>
  <sheetData>
    <row r="1" spans="1:3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pans="1:3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spans="1:3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3">
      <c r="A24" s="5"/>
      <c r="B24" s="5"/>
      <c r="C24" s="5"/>
      <c r="D24" s="5"/>
      <c r="E24" s="5"/>
      <c r="F24" s="5"/>
      <c r="G24" s="5"/>
      <c r="H24" s="5"/>
      <c r="I24" s="5"/>
      <c r="J24" s="5"/>
      <c r="K24" s="5"/>
      <c r="L24" s="5"/>
      <c r="M24" s="5"/>
      <c r="N24" s="5"/>
      <c r="O24" s="5"/>
      <c r="P24" s="5"/>
      <c r="Q24" s="5"/>
      <c r="R24" s="5"/>
      <c r="S24" s="5"/>
      <c r="T24" s="5"/>
      <c r="U24" s="5"/>
      <c r="V24" s="5"/>
      <c r="W24" s="5"/>
      <c r="X24" s="5"/>
      <c r="Y2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C1A9-B9AE-41C5-8299-61A4C4590B49}">
  <dimension ref="A1:X25"/>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8D49-9CB4-4F80-8330-C6CABE5F4F94}">
  <dimension ref="A1:X25"/>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DB2AA1F-09C5-4A9B-A799-32113878A8E7}">
  <ds:schemaRefs/>
</ds:datastoreItem>
</file>

<file path=customXml/itemProps2.xml><?xml version="1.0" encoding="utf-8"?>
<ds:datastoreItem xmlns:ds="http://schemas.openxmlformats.org/officeDocument/2006/customXml" ds:itemID="{B46F3D39-2AED-40F7-A1E3-1E37D3D9F536}">
  <ds:schemaRefs>
    <ds:schemaRef ds:uri="http://schemas.microsoft.com/DataMashup"/>
  </ds:schemaRefs>
</ds:datastoreItem>
</file>

<file path=customXml/itemProps3.xml><?xml version="1.0" encoding="utf-8"?>
<ds:datastoreItem xmlns:ds="http://schemas.openxmlformats.org/officeDocument/2006/customXml" ds:itemID="{4EBBB2C4-AF31-4B5A-805C-4A7EC0E908E5}">
  <ds:schemaRefs/>
</ds:datastoreItem>
</file>

<file path=customXml/itemProps4.xml><?xml version="1.0" encoding="utf-8"?>
<ds:datastoreItem xmlns:ds="http://schemas.openxmlformats.org/officeDocument/2006/customXml" ds:itemID="{94713DED-27F5-4EEA-B2B1-A46451F9001E}">
  <ds:schemaRefs/>
</ds:datastoreItem>
</file>

<file path=customXml/itemProps5.xml><?xml version="1.0" encoding="utf-8"?>
<ds:datastoreItem xmlns:ds="http://schemas.openxmlformats.org/officeDocument/2006/customXml" ds:itemID="{AEBCC83E-7721-423D-8879-30893E0B4839}">
  <ds:schemaRefs/>
</ds:datastoreItem>
</file>

<file path=customXml/itemProps6.xml><?xml version="1.0" encoding="utf-8"?>
<ds:datastoreItem xmlns:ds="http://schemas.openxmlformats.org/officeDocument/2006/customXml" ds:itemID="{56B91EAB-A383-46E9-AC95-41102A457134}">
  <ds:schemaRefs/>
</ds:datastoreItem>
</file>

<file path=customXml/itemProps7.xml><?xml version="1.0" encoding="utf-8"?>
<ds:datastoreItem xmlns:ds="http://schemas.openxmlformats.org/officeDocument/2006/customXml" ds:itemID="{8BB9D8CE-92CF-4CA8-9196-936EB86C2222}">
  <ds:schemaRefs/>
</ds:datastoreItem>
</file>

<file path=customXml/itemProps8.xml><?xml version="1.0" encoding="utf-8"?>
<ds:datastoreItem xmlns:ds="http://schemas.openxmlformats.org/officeDocument/2006/customXml" ds:itemID="{D039B2E5-7F15-4107-942A-BAF84C06B210}">
  <ds:schemaRefs/>
</ds:datastoreItem>
</file>

<file path=customXml/itemProps9.xml><?xml version="1.0" encoding="utf-8"?>
<ds:datastoreItem xmlns:ds="http://schemas.openxmlformats.org/officeDocument/2006/customXml" ds:itemID="{879D8F66-9706-4474-92B8-7A8A0BF00368}">
  <ds:schemaRefs/>
</ds:datastoreItem>
</file>

<file path=customXml/itemProps10.xml><?xml version="1.0" encoding="utf-8"?>
<ds:datastoreItem xmlns:ds="http://schemas.openxmlformats.org/officeDocument/2006/customXml" ds:itemID="{E523C4F8-D68E-4A5F-A2FE-8D425B2ED383}">
  <ds:schemaRefs/>
</ds:datastoreItem>
</file>

<file path=customXml/itemProps11.xml><?xml version="1.0" encoding="utf-8"?>
<ds:datastoreItem xmlns:ds="http://schemas.openxmlformats.org/officeDocument/2006/customXml" ds:itemID="{5E79FDEC-C571-4D55-9815-871E22196C27}">
  <ds:schemaRefs/>
</ds:datastoreItem>
</file>

<file path=customXml/itemProps12.xml><?xml version="1.0" encoding="utf-8"?>
<ds:datastoreItem xmlns:ds="http://schemas.openxmlformats.org/officeDocument/2006/customXml" ds:itemID="{1A31EDE1-2C92-4A4C-AEC9-156D6B9B73E1}">
  <ds:schemaRefs/>
</ds:datastoreItem>
</file>

<file path=customXml/itemProps13.xml><?xml version="1.0" encoding="utf-8"?>
<ds:datastoreItem xmlns:ds="http://schemas.openxmlformats.org/officeDocument/2006/customXml" ds:itemID="{E7CC97F4-2C03-458E-97F6-0E59C100F308}">
  <ds:schemaRefs/>
</ds:datastoreItem>
</file>

<file path=customXml/itemProps14.xml><?xml version="1.0" encoding="utf-8"?>
<ds:datastoreItem xmlns:ds="http://schemas.openxmlformats.org/officeDocument/2006/customXml" ds:itemID="{95D24434-1F29-4A64-A81D-FEFEACA5F6EC}">
  <ds:schemaRefs/>
</ds:datastoreItem>
</file>

<file path=customXml/itemProps15.xml><?xml version="1.0" encoding="utf-8"?>
<ds:datastoreItem xmlns:ds="http://schemas.openxmlformats.org/officeDocument/2006/customXml" ds:itemID="{797337D7-2518-4D37-908A-F1ADA9901CD1}">
  <ds:schemaRefs/>
</ds:datastoreItem>
</file>

<file path=customXml/itemProps16.xml><?xml version="1.0" encoding="utf-8"?>
<ds:datastoreItem xmlns:ds="http://schemas.openxmlformats.org/officeDocument/2006/customXml" ds:itemID="{E0BBFA48-61EF-44F9-862B-40C73F0DCD4C}">
  <ds:schemaRefs/>
</ds:datastoreItem>
</file>

<file path=customXml/itemProps17.xml><?xml version="1.0" encoding="utf-8"?>
<ds:datastoreItem xmlns:ds="http://schemas.openxmlformats.org/officeDocument/2006/customXml" ds:itemID="{E0917A2D-2847-4D4C-AD39-37F99E19C0BB}">
  <ds:schemaRefs/>
</ds:datastoreItem>
</file>

<file path=customXml/itemProps18.xml><?xml version="1.0" encoding="utf-8"?>
<ds:datastoreItem xmlns:ds="http://schemas.openxmlformats.org/officeDocument/2006/customXml" ds:itemID="{ECE4AE37-5828-49A2-A0B2-440F8AAE2C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Patient Satisfaction Score Dail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PAAWAN RAISADHAR</dc:creator>
  <cp:lastModifiedBy>PAAWAN RAISADHAR</cp:lastModifiedBy>
  <dcterms:created xsi:type="dcterms:W3CDTF">2026-02-18T08:39:16Z</dcterms:created>
  <dcterms:modified xsi:type="dcterms:W3CDTF">2026-02-21T06:35:27Z</dcterms:modified>
</cp:coreProperties>
</file>